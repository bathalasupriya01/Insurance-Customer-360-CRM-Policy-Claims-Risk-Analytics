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aa925c0f147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verview" sheetId="1" r:id="Rda7f32761d9f44b6"/>
    <x:sheet xmlns:r="http://schemas.openxmlformats.org/officeDocument/2006/relationships" name="CRM Insights" sheetId="2" r:id="R66fdd5cf4b5d418c"/>
    <x:sheet xmlns:r="http://schemas.openxmlformats.org/officeDocument/2006/relationships" name="Claims &amp; Risk" sheetId="3" r:id="R0279a968cc1048fc"/>
    <x:sheet xmlns:r="http://schemas.openxmlformats.org/officeDocument/2006/relationships" name="Analysis Tables" sheetId="4" r:id="R7c604ce0d2474422"/>
    <x:sheet xmlns:r="http://schemas.openxmlformats.org/officeDocument/2006/relationships" name="Project Notes" sheetId="5" r:id="R8c4d2941e5a0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0.0%"/>
    <x:numFmt numFmtId="202" formatCode="$#,##0.00"/>
    <x:numFmt numFmtId="203" formatCode="0.00"/>
    <x:numFmt numFmtId="204" formatCode="0"/>
    <x:numFmt numFmtId="205" formatCode="$#,##0"/>
  </x:numFmts>
  <x:fonts count="8">
    <x:font>
      <x:sz val="11"/>
      <x:name val="Carlito"/>
    </x:font>
    <x:font>
      <x:b/>
      <x:sz val="22"/>
      <x:color rgb="FF183B56"/>
      <x:name val="Carlito"/>
    </x:font>
    <x:font>
      <x:sz val="10"/>
      <x:color rgb="FF5B6770"/>
      <x:name val="Carlito"/>
    </x:font>
    <x:font>
      <x:b/>
      <x:sz val="9"/>
      <x:color rgb="FFFFFFFF"/>
      <x:name val="Carlito"/>
    </x:font>
    <x:font>
      <x:b/>
      <x:sz val="9"/>
      <x:color rgb="FF5B6770"/>
      <x:name val="Carlito"/>
    </x:font>
    <x:font>
      <x:b/>
      <x:sz val="18"/>
      <x:color rgb="FF1F2933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690"/>
      </x:patternFill>
    </x:fill>
    <x:fill>
      <x:patternFill patternType="solid">
        <x:fgColor rgb="FFEAF1F6"/>
      </x:patternFill>
    </x:fill>
    <x:fill>
      <x:patternFill patternType="solid">
        <x:fgColor rgb="FFFFFFFF"/>
      </x:patternFill>
    </x:fill>
    <x:fill>
      <x:patternFill patternType="solid">
        <x:fgColor rgb="FF183B56"/>
      </x:patternFill>
    </x:fill>
  </x:fills>
  <x:borders count="4">
    <x:border/>
    <x:border/>
    <x:border>
      <x:bottom style="thin">
        <x:color rgb="FFD9E2E8"/>
      </x:bottom>
    </x:border>
    <x:border>
      <x:bottom style="thin">
        <x:color rgb="FFD9E2E8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2" borderId="0" xfId="0" applyNumberFormat="1" applyFont="1" applyFill="1" applyBorder="1"/>
    <x:xf numFmtId="202" fontId="0" fillId="2" borderId="0" xfId="0" applyNumberFormat="1" applyFont="1" applyFill="1" applyBorder="1"/>
    <x:xf numFmtId="200" fontId="3" fillId="2" borderId="0" xfId="0" applyNumberFormat="1" applyFont="1" applyFill="1" applyBorder="1"/>
    <x:xf numFmtId="202" fontId="3" fillId="2" borderId="0" xfId="0" applyNumberFormat="1" applyFont="1" applyFill="1" applyBorder="1"/>
    <x:xf numFmtId="200" fontId="3" fillId="2" borderId="0" xfId="0" applyNumberFormat="1" applyFont="1" applyFill="1" applyBorder="1" applyAlignment="1">
      <x:alignment horizontal="left"/>
    </x:xf>
    <x:xf numFmtId="202" fontId="3" fillId="2" borderId="0" xfId="0" applyNumberFormat="1" applyFont="1" applyFill="1" applyBorder="1" applyAlignment="1">
      <x:alignment horizontal="left"/>
    </x:xf>
    <x:xf numFmtId="200" fontId="3" fillId="2" borderId="0" xfId="0" applyNumberFormat="1" applyFont="1" applyFill="1" applyBorder="1" applyAlignment="1">
      <x:alignment horizontal="left" vertical="center"/>
    </x:xf>
    <x:xf numFmtId="202" fontId="3" fillId="2" borderId="0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/>
    <x:xf numFmtId="202" fontId="0" fillId="2" borderId="1" xfId="0" applyNumberFormat="1" applyFont="1" applyFill="1" applyBorder="1"/>
    <x:xf numFmtId="200" fontId="3" fillId="2" borderId="1" xfId="0" applyNumberFormat="1" applyFont="1" applyFill="1" applyBorder="1"/>
    <x:xf numFmtId="202" fontId="3" fillId="2" borderId="1" xfId="0" applyNumberFormat="1" applyFont="1" applyFill="1" applyBorder="1"/>
    <x:xf numFmtId="200" fontId="3" fillId="2" borderId="1" xfId="0" applyNumberFormat="1" applyFont="1" applyFill="1" applyBorder="1" applyAlignment="1">
      <x:alignment horizontal="left"/>
    </x:xf>
    <x:xf numFmtId="202" fontId="3" fillId="2" borderId="1" xfId="0" applyNumberFormat="1" applyFont="1" applyFill="1" applyBorder="1" applyAlignment="1">
      <x:alignment horizontal="left"/>
    </x:xf>
    <x:xf numFmtId="200" fontId="3" fillId="2" borderId="1" xfId="0" applyNumberFormat="1" applyFont="1" applyFill="1" applyBorder="1" applyAlignment="1">
      <x:alignment horizontal="left" vertical="center"/>
    </x:xf>
    <x:xf numFmtId="202" fontId="3" fillId="2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left" vertical="center" wrapText="1"/>
    </x:xf>
    <x:xf numFmtId="202" fontId="3" fillId="2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3" fillId="2" borderId="1" xfId="0" applyNumberFormat="1" applyFont="1" applyFill="1" applyBorder="1" applyAlignment="1">
      <x:alignment horizontal="left" vertical="center" wrapText="1"/>
    </x:xf>
    <x:xf numFmtId="202" fontId="3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2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horizontal="left"/>
    </x:xf>
    <x:xf numFmtId="0" fontId="5" fillId="4" borderId="3" xfId="0" applyNumberFormat="1" applyFont="1" applyFill="1" applyBorder="1" applyAlignment="1">
      <x:alignment horizontal="left"/>
    </x:xf>
    <x:xf numFmtId="0" fontId="5" fillId="4" borderId="1" xfId="0" applyNumberFormat="1" applyFont="1" applyFill="1" applyBorder="1" applyAlignment="1">
      <x:alignment horizontal="left" vertical="center"/>
    </x:xf>
    <x:xf numFmtId="0" fontId="5" fillId="4" borderId="3" xfId="0" applyNumberFormat="1" applyFont="1" applyFill="1" applyBorder="1" applyAlignment="1">
      <x:alignment horizontal="left" vertical="center"/>
    </x:xf>
    <x:xf numFmtId="204" fontId="5" fillId="4" borderId="0" xfId="0" applyNumberFormat="1" applyFont="1" applyFill="1" applyBorder="1" applyAlignment="1">
      <x:alignment horizontal="left" vertical="center"/>
    </x:xf>
    <x:xf numFmtId="204" fontId="5" fillId="4" borderId="2" xfId="0" applyNumberFormat="1" applyFont="1" applyFill="1" applyBorder="1" applyAlignment="1">
      <x:alignment horizontal="left" vertical="center"/>
    </x:xf>
    <x:xf numFmtId="204" fontId="5" fillId="4" borderId="1" xfId="0" applyNumberFormat="1" applyFont="1" applyFill="1" applyBorder="1" applyAlignment="1">
      <x:alignment horizontal="left" vertical="center"/>
    </x:xf>
    <x:xf numFmtId="204" fontId="5" fillId="4" borderId="3" xfId="0" applyNumberFormat="1" applyFont="1" applyFill="1" applyBorder="1" applyAlignment="1">
      <x:alignment horizontal="left" vertical="center"/>
    </x:xf>
    <x:xf numFmtId="205" fontId="5" fillId="4" borderId="0" xfId="0" applyNumberFormat="1" applyFont="1" applyFill="1" applyBorder="1" applyAlignment="1">
      <x:alignment horizontal="left" vertical="center"/>
    </x:xf>
    <x:xf numFmtId="205" fontId="5" fillId="4" borderId="2" xfId="0" applyNumberFormat="1" applyFont="1" applyFill="1" applyBorder="1" applyAlignment="1">
      <x:alignment horizontal="left" vertical="center"/>
    </x:xf>
    <x:xf numFmtId="205" fontId="5" fillId="4" borderId="1" xfId="0" applyNumberFormat="1" applyFont="1" applyFill="1" applyBorder="1" applyAlignment="1">
      <x:alignment horizontal="left" vertical="center"/>
    </x:xf>
    <x:xf numFmtId="205" fontId="5" fillId="4" borderId="3" xfId="0" applyNumberFormat="1" applyFont="1" applyFill="1" applyBorder="1" applyAlignment="1">
      <x:alignment horizontal="left" vertical="center"/>
    </x:xf>
    <x:xf numFmtId="200" fontId="5" fillId="4" borderId="0" xfId="0" applyNumberFormat="1" applyFont="1" applyFill="1" applyBorder="1" applyAlignment="1">
      <x:alignment horizontal="left" vertical="center"/>
    </x:xf>
    <x:xf numFmtId="200" fontId="5" fillId="4" borderId="2" xfId="0" applyNumberFormat="1" applyFont="1" applyFill="1" applyBorder="1" applyAlignment="1">
      <x:alignment horizontal="left" vertical="center"/>
    </x:xf>
    <x:xf numFmtId="200" fontId="5" fillId="4" borderId="1" xfId="0" applyNumberFormat="1" applyFont="1" applyFill="1" applyBorder="1" applyAlignment="1">
      <x:alignment horizontal="left" vertical="center"/>
    </x:xf>
    <x:xf numFmtId="200" fontId="5" fillId="4" borderId="3" xfId="0" applyNumberFormat="1" applyFont="1" applyFill="1" applyBorder="1" applyAlignment="1">
      <x:alignment horizontal="left" vertical="center"/>
    </x:xf>
    <x:xf numFmtId="201" fontId="5" fillId="4" borderId="0" xfId="0" applyNumberFormat="1" applyFont="1" applyFill="1" applyBorder="1" applyAlignment="1">
      <x:alignment horizontal="left" vertical="center"/>
    </x:xf>
    <x:xf numFmtId="201" fontId="5" fillId="4" borderId="2" xfId="0" applyNumberFormat="1" applyFont="1" applyFill="1" applyBorder="1" applyAlignment="1">
      <x:alignment horizontal="left" vertical="center"/>
    </x:xf>
    <x:xf numFmtId="201" fontId="5" fillId="4" borderId="1" xfId="0" applyNumberFormat="1" applyFont="1" applyFill="1" applyBorder="1" applyAlignment="1">
      <x:alignment horizontal="left" vertical="center"/>
    </x:xf>
    <x:xf numFmtId="201" fontId="5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horizontal="left" vertical="center"/>
    </x:xf>
    <x:xf numFmtId="203" fontId="5" fillId="4" borderId="2" xfId="0" applyNumberFormat="1" applyFont="1" applyFill="1" applyBorder="1" applyAlignment="1">
      <x:alignment horizontal="left" vertical="center"/>
    </x:xf>
    <x:xf numFmtId="203" fontId="5" fillId="4" borderId="1" xfId="0" applyNumberFormat="1" applyFont="1" applyFill="1" applyBorder="1" applyAlignment="1">
      <x:alignment horizontal="left" vertical="center"/>
    </x:xf>
    <x:xf numFmtId="203" fontId="5" fillId="4" borderId="3" xfId="0" applyNumberFormat="1" applyFont="1" applyFill="1" applyBorder="1" applyAlignment="1">
      <x:alignment horizontal="left" vertic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9e41a67214fd9" /><Relationship Type="http://schemas.openxmlformats.org/officeDocument/2006/relationships/theme" Target="/xl/theme/theme1.xml" Id="R21893b2f77824484" /><Relationship Type="http://schemas.openxmlformats.org/officeDocument/2006/relationships/sharedStrings" Target="/xl/sharedStrings.xml" Id="Rabb2395a59c04e87" /><Relationship Type="http://schemas.openxmlformats.org/officeDocument/2006/relationships/worksheet" Target="/xl/worksheets/sheet1.xml" Id="Rda7f32761d9f44b6" /><Relationship Type="http://schemas.openxmlformats.org/officeDocument/2006/relationships/worksheet" Target="/xl/worksheets/sheet2.xml" Id="R66fdd5cf4b5d418c" /><Relationship Type="http://schemas.openxmlformats.org/officeDocument/2006/relationships/worksheet" Target="/xl/worksheets/sheet3.xml" Id="R0279a968cc1048fc" /><Relationship Type="http://schemas.openxmlformats.org/officeDocument/2006/relationships/worksheet" Target="/xl/worksheets/sheet4.xml" Id="R7c604ce0d2474422" /><Relationship Type="http://schemas.openxmlformats.org/officeDocument/2006/relationships/worksheet" Target="/xl/worksheets/sheet5.xml" Id="R8c4d2941e5a04a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dbbf4f60ad49e6" /><Relationship Type="http://schemas.openxmlformats.org/officeDocument/2006/relationships/chart" Target="/xl/drawings/charts/chart2.xml" Id="R3dfe7b73acf84306" /><Relationship Type="http://schemas.openxmlformats.org/officeDocument/2006/relationships/chart" Target="/xl/drawings/charts/chart3.xml" Id="R76aced9901da4268" /><Relationship Type="http://schemas.openxmlformats.org/officeDocument/2006/relationships/chart" Target="/xl/drawings/charts/chart4.xml" Id="R1ea9bb28b0c3445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6ce7d0c4a784e5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45a78c047b94255" /><Relationship Type="http://schemas.openxmlformats.org/officeDocument/2006/relationships/chart" Target="/xl/drawings/charts/chart7.xml" Id="R1f308cc9fc6b43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Response Rate by Sales Channel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Response Rate</c:v>
          </c:tx>
          <c:cat>
            <c:strRef>
              <c:f>'Executive Overview'!$P$2:$P$5</c:f>
              <c:strCache>
                <c:ptCount val="0"/>
              </c:strCache>
            </c:strRef>
          </c:cat>
          <c:val>
            <c:numRef>
              <c:f>'Executive Overview'!$Q$2:$Q$5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Response by Offer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Response Rate</c:v>
          </c:tx>
          <c:cat>
            <c:strRef>
              <c:f>'Executive Overview'!$R$2:$R$5</c:f>
              <c:strCache>
                <c:ptCount val="0"/>
              </c:strCache>
            </c:strRef>
          </c:cat>
          <c:val>
            <c:numRef>
              <c:f>'Executive Overview'!$S$2:$S$5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Claim by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Avg Claim</c:v>
          </c:tx>
          <c:cat>
            <c:strRef>
              <c:f>'Executive Overview'!$T$2:$T$4</c:f>
              <c:strCache>
                <c:ptCount val="0"/>
              </c:strCache>
            </c:strRef>
          </c:cat>
          <c:val>
            <c:numRef>
              <c:f>'Executive Overview'!$U$2:$U$4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Claim by Vehicle Class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Avg Claim</c:v>
          </c:tx>
          <c:cat>
            <c:strRef>
              <c:f>'Executive Overview'!$V$2:$V$7</c:f>
              <c:strCache>
                <c:ptCount val="0"/>
              </c:strCache>
            </c:strRef>
          </c:cat>
          <c:val>
            <c:numRef>
              <c:f>'Executive Overview'!$W$2:$W$7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Response Rate by CLV Tier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Response Rate</c:v>
          </c:tx>
          <c:cat>
            <c:strRef>
              <c:f>'CRM Insights'!$P$2:$P$5</c:f>
              <c:strCache>
                <c:ptCount val="0"/>
              </c:strCache>
            </c:strRef>
          </c:cat>
          <c:val>
            <c:numRef>
              <c:f>'CRM Insights'!$Q$2:$Q$5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Claim by Claim Band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Avg Claim</c:v>
          </c:tx>
          <c:cat>
            <c:strRef>
              <c:f>'Claims &amp; Risk'!$P$2:$P$5</c:f>
              <c:strCache>
                <c:ptCount val="0"/>
              </c:strCache>
            </c:strRef>
          </c:cat>
          <c:val>
            <c:numRef>
              <c:f>'Claims &amp; Risk'!$Q$2:$Q$5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Vehicle Class — Average Claim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Avg Claim</c:v>
          </c:tx>
          <c:cat>
            <c:strRef>
              <c:f>'Claims &amp; Risk'!$P$9:$P$14</c:f>
              <c:strCache>
                <c:ptCount val="0"/>
              </c:strCache>
            </c:strRef>
          </c:cat>
          <c:val>
            <c:numRef>
              <c:f>'Claims &amp; Risk'!$Q$9:$Q$14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dbbf4f60ad49e6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fe7b73acf84306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aced9901da4268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a9bb28b0c3445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ce7d0c4a784e5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5a78c047b94255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308cc9fc6b43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afd890fb3b46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099e7680e3748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615fd2d62c3415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</x:cols>
  <x:sheetData>
    <x:row r="1">
      <x:c r="A1" s="4" t="str">
        <x:v>Insurance Customer 360</x:v>
      </x:c>
      <x:c r="P1" t="str">
        <x:v>Sales Channel</x:v>
      </x:c>
      <x:c r="Q1" t="str">
        <x:v>Response Rate (%)</x:v>
      </x:c>
      <x:c r="R1" t="str">
        <x:v>Offer</x:v>
      </x:c>
      <x:c r="S1" t="str">
        <x:v>Response Rate (%)</x:v>
      </x:c>
      <x:c r="T1" t="str">
        <x:v>Coverage</x:v>
      </x:c>
      <x:c r="U1" t="str">
        <x:v>Avg Claim</x:v>
      </x:c>
      <x:c r="V1" t="str">
        <x:v>Vehicle Class</x:v>
      </x:c>
      <x:c r="W1" t="str">
        <x:v>Avg Claim</x:v>
      </x:c>
    </x:row>
    <x:row r="2">
      <x:c r="P2" t="str">
        <x:v>Agent</x:v>
      </x:c>
      <x:c r="Q2" t="n">
        <x:v>19.15</x:v>
      </x:c>
      <x:c r="R2" t="str">
        <x:v>Offer1</x:v>
      </x:c>
      <x:c r="S2" t="n">
        <x:v>15.83</x:v>
      </x:c>
      <x:c r="T2" t="str">
        <x:v>Basic</x:v>
      </x:c>
      <x:c r="U2" t="n">
        <x:v>379.04</x:v>
      </x:c>
      <x:c r="V2" t="str">
        <x:v>Four-Door Car</x:v>
      </x:c>
      <x:c r="W2" t="n">
        <x:v>351.76</x:v>
      </x:c>
    </x:row>
    <x:row r="3">
      <x:c r="A3" s="10" t="str">
        <x:v>CRM, policy and claims view | IBM Watson Marketing Customer Value sample</x:v>
      </x:c>
      <x:c r="P3" t="str">
        <x:v>Branch</x:v>
      </x:c>
      <x:c r="Q3" t="n">
        <x:v>11.450000000000001</x:v>
      </x:c>
      <x:c r="R3" t="str">
        <x:v>Offer2</x:v>
      </x:c>
      <x:c r="S3" t="n">
        <x:v>23.380000000000003</x:v>
      </x:c>
      <x:c r="T3" t="str">
        <x:v>Extended</x:v>
      </x:c>
      <x:c r="U3" t="n">
        <x:v>480.58</x:v>
      </x:c>
      <x:c r="V3" t="str">
        <x:v>Two-Door Car</x:v>
      </x:c>
      <x:c r="W3" t="n">
        <x:v>350.54</x:v>
      </x:c>
    </x:row>
    <x:row r="4">
      <x:c r="P4" t="str">
        <x:v>Call Center</x:v>
      </x:c>
      <x:c r="Q4" t="n">
        <x:v>10.879999999999999</x:v>
      </x:c>
      <x:c r="R4" t="str">
        <x:v>Offer3</x:v>
      </x:c>
      <x:c r="S4" t="n">
        <x:v>2.09</x:v>
      </x:c>
      <x:c r="T4" t="str">
        <x:v>Premium</x:v>
      </x:c>
      <x:c r="U4" t="n">
        <x:v>651.39</x:v>
      </x:c>
      <x:c r="V4" t="str">
        <x:v>SUV</x:v>
      </x:c>
      <x:c r="W4" t="n">
        <x:v>569.57</x:v>
      </x:c>
    </x:row>
    <x:row r="5">
      <x:c r="A5" s="69" t="str">
        <x:v>Customers</x:v>
      </x:c>
      <x:c r="B5" s="69"/>
      <x:c r="D5" s="69" t="str">
        <x:v>Avg CLV</x:v>
      </x:c>
      <x:c r="E5" s="69"/>
      <x:c r="G5" s="69" t="str">
        <x:v>Response Rate</x:v>
      </x:c>
      <x:c r="H5" s="69"/>
      <x:c r="J5" s="69" t="str">
        <x:v>Avg Premium</x:v>
      </x:c>
      <x:c r="K5" s="69"/>
      <x:c r="M5" s="69" t="str">
        <x:v>Avg Claim</x:v>
      </x:c>
      <x:c r="N5" s="69"/>
      <x:c r="P5" t="str">
        <x:v>Web</x:v>
      </x:c>
      <x:c r="Q5" t="n">
        <x:v>11.77</x:v>
      </x:c>
      <x:c r="R5" t="str">
        <x:v>Offer4</x:v>
      </x:c>
      <x:c r="S5" t="n">
        <x:v>0</x:v>
      </x:c>
      <x:c r="V5" t="str">
        <x:v>Sports Car</x:v>
      </x:c>
      <x:c r="W5" t="n">
        <x:v>558.15</x:v>
      </x:c>
    </x:row>
    <x:row r="6">
      <x:c r="A6" s="88" t="n">
        <x:f>'Analysis Tables'!B5</x:f>
        <x:v>9134</x:v>
      </x:c>
      <x:c r="B6" s="88"/>
      <x:c r="D6" s="92" t="n">
        <x:f>'Analysis Tables'!B7</x:f>
        <x:v>8004.94</x:v>
      </x:c>
      <x:c r="E6" s="92"/>
      <x:c r="G6" s="96" t="n">
        <x:f>'Analysis Tables'!B6</x:f>
        <x:v>0.1432</x:v>
      </x:c>
      <x:c r="H6" s="96"/>
      <x:c r="J6" s="92" t="n">
        <x:f>'Analysis Tables'!B8</x:f>
        <x:v>93.22</x:v>
      </x:c>
      <x:c r="K6" s="92"/>
      <x:c r="M6" s="92" t="n">
        <x:f>'Analysis Tables'!B9</x:f>
        <x:v>434.09</x:v>
      </x:c>
      <x:c r="N6" s="92"/>
      <x:c r="V6" t="str">
        <x:v>Luxury SUV</x:v>
      </x:c>
      <x:c r="W6" t="n">
        <x:v>1092.53</x:v>
      </x:c>
    </x:row>
    <x:row r="7">
      <x:c r="A7" s="89"/>
      <x:c r="B7" s="89"/>
      <x:c r="D7" s="93"/>
      <x:c r="E7" s="93"/>
      <x:c r="G7" s="97"/>
      <x:c r="H7" s="97"/>
      <x:c r="J7" s="93"/>
      <x:c r="K7" s="93"/>
      <x:c r="M7" s="93"/>
      <x:c r="N7" s="93"/>
      <x:c r="V7" t="str">
        <x:v>Luxury Car</x:v>
      </x:c>
      <x:c r="W7" t="n">
        <x:v>1130.29</x:v>
      </x:c>
    </x:row>
    <x:row r="9">
      <x:c r="A9" s="69" t="str">
        <x:v>Open Complaint Rate</x:v>
      </x:c>
      <x:c r="B9" s="69"/>
    </x:row>
    <x:row r="10">
      <x:c r="A10" s="100" t="n">
        <x:f>'Analysis Tables'!B10</x:f>
        <x:v>0.206</x:v>
      </x:c>
      <x:c r="B10" s="100"/>
    </x:row>
    <x:row r="11">
      <x:c r="A11" s="101"/>
      <x:c r="B11" s="101"/>
    </x:row>
    <x:row r="13">
      <x:c r="A13" s="107" t="str">
        <x:v>CRM performance</x:v>
      </x:c>
      <x:c r="B13" s="107"/>
      <x:c r="C13" s="107"/>
      <x:c r="D13" s="107"/>
      <x:c r="E13" s="107"/>
      <x:c r="F13" s="107"/>
      <x:c r="H13" s="107" t="str">
        <x:v>Customer &amp; claims mix</x:v>
      </x:c>
      <x:c r="I13" s="107"/>
      <x:c r="J13" s="107"/>
      <x:c r="K13" s="107"/>
      <x:c r="L13" s="107"/>
      <x:c r="M13" s="107"/>
      <x:c r="N13" s="107"/>
    </x:row>
    <x:row r="43">
      <x:c r="A43" s="107" t="str">
        <x:v>What stands out</x:v>
      </x:c>
      <x:c r="B43" s="107"/>
      <x:c r="C43" s="107"/>
      <x:c r="D43" s="107"/>
      <x:c r="E43" s="107"/>
      <x:c r="F43" s="107"/>
      <x:c r="G43" s="107"/>
      <x:c r="H43" s="107"/>
      <x:c r="I43" s="107"/>
      <x:c r="J43" s="107"/>
      <x:c r="K43" s="107"/>
      <x:c r="L43" s="107"/>
      <x:c r="M43" s="107"/>
      <x:c r="N43" s="107"/>
    </x:row>
    <x:row r="44">
      <x:c r="A44" s="114" t="str">
        <x:v>• Overall marketing response is 14.32%; Agent is the strongest observed channel at 19.15%.
• Offer2 has the highest observed offer response at 23.38%; Offer2 + Agent reaches 31.90% in the sample.
• Premium coverage has the highest average CLV but also a higher average observed claim amount.
• These are associations from sample data—not causal effects or live underwriting rules.</x:v>
      </x:c>
      <x:c r="B44" s="114"/>
      <x:c r="C44" s="114"/>
      <x:c r="D44" s="114"/>
      <x:c r="E44" s="114"/>
      <x:c r="F44" s="114"/>
      <x:c r="G44" s="114"/>
      <x:c r="H44" s="114"/>
      <x:c r="I44" s="114"/>
      <x:c r="J44" s="114"/>
      <x:c r="K44" s="114"/>
      <x:c r="L44" s="114"/>
      <x:c r="M44" s="114"/>
      <x:c r="N44" s="114"/>
    </x:row>
    <x:row r="45">
      <x:c r="A45" s="114"/>
      <x:c r="B45" s="114"/>
      <x:c r="C45" s="114"/>
      <x:c r="D45" s="114"/>
      <x:c r="E45" s="114"/>
      <x:c r="F45" s="114"/>
      <x:c r="G45" s="114"/>
      <x:c r="H45" s="114"/>
      <x:c r="I45" s="114"/>
      <x:c r="J45" s="114"/>
      <x:c r="K45" s="114"/>
      <x:c r="L45" s="114"/>
      <x:c r="M45" s="114"/>
      <x:c r="N45" s="114"/>
    </x:row>
    <x:row r="46">
      <x:c r="A46" s="114"/>
      <x:c r="B46" s="114"/>
      <x:c r="C46" s="114"/>
      <x:c r="D46" s="114"/>
      <x:c r="E46" s="114"/>
      <x:c r="F46" s="114"/>
      <x:c r="G46" s="114"/>
      <x:c r="H46" s="114"/>
      <x:c r="I46" s="114"/>
      <x:c r="J46" s="114"/>
      <x:c r="K46" s="114"/>
      <x:c r="L46" s="114"/>
      <x:c r="M46" s="114"/>
      <x:c r="N46" s="114"/>
    </x:row>
    <x:row r="47">
      <x:c r="A47" s="114"/>
      <x:c r="B47" s="114"/>
      <x:c r="C47" s="114"/>
      <x:c r="D47" s="114"/>
      <x:c r="E47" s="114"/>
      <x:c r="F47" s="114"/>
      <x:c r="G47" s="114"/>
      <x:c r="H47" s="114"/>
      <x:c r="I47" s="114"/>
      <x:c r="J47" s="114"/>
      <x:c r="K47" s="114"/>
      <x:c r="L47" s="114"/>
      <x:c r="M47" s="114"/>
      <x:c r="N47" s="114"/>
    </x:row>
    <x:row r="48">
      <x:c r="A48" s="114"/>
      <x:c r="B48" s="114"/>
      <x:c r="C48" s="114"/>
      <x:c r="D48" s="114"/>
      <x:c r="E48" s="114"/>
      <x:c r="F48" s="114"/>
      <x:c r="G48" s="114"/>
      <x:c r="H48" s="114"/>
      <x:c r="I48" s="114"/>
      <x:c r="J48" s="114"/>
      <x:c r="K48" s="114"/>
      <x:c r="L48" s="114"/>
      <x:c r="M48" s="114"/>
      <x:c r="N48" s="114"/>
    </x:row>
    <x:row r="49">
      <x:c r="A49" s="114"/>
      <x:c r="B49" s="114"/>
      <x:c r="C49" s="114"/>
      <x:c r="D49" s="114"/>
      <x:c r="E49" s="114"/>
      <x:c r="F49" s="114"/>
      <x:c r="G49" s="114"/>
      <x:c r="H49" s="114"/>
      <x:c r="I49" s="114"/>
      <x:c r="J49" s="114"/>
      <x:c r="K49" s="114"/>
      <x:c r="L49" s="114"/>
      <x:c r="M49" s="114"/>
      <x:c r="N49" s="114"/>
    </x:row>
  </x:sheetData>
  <x:mergeCells>
    <x:mergeCell ref="A1:N2"/>
    <x:mergeCell ref="A3:N3"/>
    <x:mergeCell ref="A5:B5"/>
    <x:mergeCell ref="A6:B7"/>
    <x:mergeCell ref="D5:E5"/>
    <x:mergeCell ref="D6:E7"/>
    <x:mergeCell ref="G5:H5"/>
    <x:mergeCell ref="G6:H7"/>
    <x:mergeCell ref="J5:K5"/>
    <x:mergeCell ref="J6:K7"/>
    <x:mergeCell ref="M5:N5"/>
    <x:mergeCell ref="M6:N7"/>
    <x:mergeCell ref="A9:B9"/>
    <x:mergeCell ref="A10:B11"/>
    <x:mergeCell ref="A13:F13"/>
    <x:mergeCell ref="H13:N13"/>
    <x:mergeCell ref="A43:N43"/>
    <x:mergeCell ref="A44:N49"/>
  </x:mergeCells>
  <x:pageMargins left="0.7" right="0.7" top="0.75" bottom="0.75" header="0.3" footer="0.3"/>
  <x:drawing xmlns:r="http://schemas.openxmlformats.org/officeDocument/2006/relationships" r:id="Rddafd890fb3b4662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4" t="str">
        <x:v>CRM &amp; Customer Insights</x:v>
      </x:c>
      <x:c r="P1" t="str">
        <x:v>CLV Tier</x:v>
      </x:c>
      <x:c r="Q1" t="str">
        <x:v>Response Rate (%)</x:v>
      </x:c>
    </x:row>
    <x:row r="2">
      <x:c r="P2" t="str">
        <x:v>Low</x:v>
      </x:c>
      <x:c r="Q2" t="n">
        <x:v>14.97</x:v>
      </x:c>
    </x:row>
    <x:row r="3">
      <x:c r="A3" s="10" t="str">
        <x:v>Value segmentation, offer/channel response and follow-up opportunities</x:v>
      </x:c>
      <x:c r="P3" t="str">
        <x:v>Mid-Low</x:v>
      </x:c>
      <x:c r="Q3" t="n">
        <x:v>15.24</x:v>
      </x:c>
    </x:row>
    <x:row r="4">
      <x:c r="P4" t="str">
        <x:v>Mid-High</x:v>
      </x:c>
      <x:c r="Q4" t="n">
        <x:v>11.83</x:v>
      </x:c>
    </x:row>
    <x:row r="5">
      <x:c r="A5" s="69" t="str">
        <x:v>Overall Response</x:v>
      </x:c>
      <x:c r="B5" s="69"/>
      <x:c r="C5" s="69"/>
      <x:c r="E5" s="69" t="str">
        <x:v>High-value Non-responders</x:v>
      </x:c>
      <x:c r="F5" s="69"/>
      <x:c r="G5" s="69"/>
      <x:c r="I5" s="69" t="str">
        <x:v>Avg Policies</x:v>
      </x:c>
      <x:c r="J5" s="69"/>
      <x:c r="K5" s="69"/>
      <x:c r="P5" t="str">
        <x:v>High</x:v>
      </x:c>
      <x:c r="Q5" t="n">
        <x:v>15.24</x:v>
      </x:c>
    </x:row>
    <x:row r="6">
      <x:c r="A6" s="96" t="n">
        <x:f>'Analysis Tables'!B6</x:f>
        <x:v>0.1432</x:v>
      </x:c>
      <x:c r="B6" s="96"/>
      <x:c r="C6" s="96"/>
      <x:c r="E6" s="88" t="n">
        <x:f>'Analysis Tables'!B11</x:f>
        <x:v>1936</x:v>
      </x:c>
      <x:c r="F6" s="88"/>
      <x:c r="G6" s="88"/>
      <x:c r="I6" s="116" t="n">
        <x:f>'Analysis Tables'!B13</x:f>
        <x:v>2.97</x:v>
      </x:c>
      <x:c r="J6" s="116"/>
      <x:c r="K6" s="116"/>
    </x:row>
    <x:row r="7">
      <x:c r="A7" s="97"/>
      <x:c r="B7" s="97"/>
      <x:c r="C7" s="97"/>
      <x:c r="E7" s="89"/>
      <x:c r="F7" s="89"/>
      <x:c r="G7" s="89"/>
      <x:c r="I7" s="117"/>
      <x:c r="J7" s="117"/>
      <x:c r="K7" s="117"/>
    </x:row>
    <x:row r="10">
      <x:c r="A10" s="107" t="str">
        <x:v>Customer value tiers</x:v>
      </x:c>
      <x:c r="B10" s="107"/>
      <x:c r="C10" s="107"/>
      <x:c r="D10" s="107"/>
      <x:c r="E10" s="107"/>
      <x:c r="F10" s="107"/>
      <x:c r="G10" s="107"/>
      <x:c r="I10" s="107" t="str">
        <x:v>Top offer + channel combinations</x:v>
      </x:c>
      <x:c r="J10" s="107"/>
      <x:c r="K10" s="107"/>
      <x:c r="L10" s="107"/>
      <x:c r="M10" s="107"/>
      <x:c r="N10" s="107"/>
    </x:row>
    <x:row r="11">
      <x:c r="I11" s="17" t="str">
        <x:v>Combination</x:v>
      </x:c>
      <x:c r="J11" s="17" t="str">
        <x:v>Customers</x:v>
      </x:c>
      <x:c r="K11" s="17" t="str">
        <x:v>Response Rate</x:v>
      </x:c>
      <x:c r="L11" s="17" t="str">
        <x:v>Avg CLV</x:v>
      </x:c>
      <x:c r="M11" s="17" t="str">
        <x:v>Avg Claim</x:v>
      </x:c>
      <x:c r="N11" s="17" t="str">
        <x:v>Avg Policies</x:v>
      </x:c>
    </x:row>
    <x:row r="12">
      <x:c r="I12" t="str">
        <x:v>Offer2 | Agent</x:v>
      </x:c>
      <x:c r="J12" t="n">
        <x:v>978</x:v>
      </x:c>
      <x:c r="K12" s="24" t="n">
        <x:v>0.319</x:v>
      </x:c>
      <x:c r="L12" s="120" t="n">
        <x:v>7484.24</x:v>
      </x:c>
      <x:c r="M12" s="120" t="n">
        <x:v>431.5</x:v>
      </x:c>
      <x:c r="N12" s="28" t="n">
        <x:v>2.85</x:v>
      </x:c>
    </x:row>
    <x:row r="13">
      <x:c r="I13" t="str">
        <x:v>Offer2 | Call Center</x:v>
      </x:c>
      <x:c r="J13" t="n">
        <x:v>647</x:v>
      </x:c>
      <x:c r="K13" s="24" t="n">
        <x:v>0.2318</x:v>
      </x:c>
      <x:c r="L13" s="120" t="n">
        <x:v>6820.63</x:v>
      </x:c>
      <x:c r="M13" s="120" t="n">
        <x:v>402.2</x:v>
      </x:c>
      <x:c r="N13" s="28" t="n">
        <x:v>2.87</x:v>
      </x:c>
    </x:row>
    <x:row r="14">
      <x:c r="I14" t="str">
        <x:v>Offer1 | Agent</x:v>
      </x:c>
      <x:c r="J14" t="n">
        <x:v>1690</x:v>
      </x:c>
      <x:c r="K14" s="24" t="n">
        <x:v>0.1988</x:v>
      </x:c>
      <x:c r="L14" s="120" t="n">
        <x:v>8306.08</x:v>
      </x:c>
      <x:c r="M14" s="120" t="n">
        <x:v>458.52</x:v>
      </x:c>
      <x:c r="N14" s="28" t="n">
        <x:v>3.14</x:v>
      </x:c>
    </x:row>
    <x:row r="15">
      <x:c r="I15" t="str">
        <x:v>Offer2 | Web</x:v>
      </x:c>
      <x:c r="J15" t="n">
        <x:v>513</x:v>
      </x:c>
      <x:c r="K15" s="24" t="n">
        <x:v>0.1871</x:v>
      </x:c>
      <x:c r="L15" s="120" t="n">
        <x:v>7393.25</x:v>
      </x:c>
      <x:c r="M15" s="120" t="n">
        <x:v>381.23</x:v>
      </x:c>
      <x:c r="N15" s="28" t="n">
        <x:v>2.81</x:v>
      </x:c>
    </x:row>
    <x:row r="16">
      <x:c r="I16" t="str">
        <x:v>Offer2 | Branch</x:v>
      </x:c>
      <x:c r="J16" t="n">
        <x:v>788</x:v>
      </x:c>
      <x:c r="K16" s="24" t="n">
        <x:v>0.1599</x:v>
      </x:c>
      <x:c r="L16" s="120" t="n">
        <x:v>7763.48</x:v>
      </x:c>
      <x:c r="M16" s="120" t="n">
        <x:v>403.91</x:v>
      </x:c>
      <x:c r="N16" s="28" t="n">
        <x:v>2.77</x:v>
      </x:c>
    </x:row>
    <x:row r="17">
      <x:c r="I17" t="str">
        <x:v>Offer1 | Branch</x:v>
      </x:c>
      <x:c r="J17" t="n">
        <x:v>1099</x:v>
      </x:c>
      <x:c r="K17" s="24" t="n">
        <x:v>0.1529</x:v>
      </x:c>
      <x:c r="L17" s="120" t="n">
        <x:v>8630.07</x:v>
      </x:c>
      <x:c r="M17" s="120" t="n">
        <x:v>471.8</x:v>
      </x:c>
      <x:c r="N17" s="28" t="n">
        <x:v>3.13</x:v>
      </x:c>
    </x:row>
    <x:row r="18">
      <x:c r="I18" t="str">
        <x:v>Offer1 | Web</x:v>
      </x:c>
      <x:c r="J18" t="n">
        <x:v>375</x:v>
      </x:c>
      <x:c r="K18" s="24" t="n">
        <x:v>0.128</x:v>
      </x:c>
      <x:c r="L18" s="120" t="n">
        <x:v>9012.68</x:v>
      </x:c>
      <x:c r="M18" s="120" t="n">
        <x:v>489.47</x:v>
      </x:c>
      <x:c r="N18" s="28" t="n">
        <x:v>3.53</x:v>
      </x:c>
    </x:row>
    <x:row r="19">
      <x:c r="I19" t="str">
        <x:v>Offer1 | Call Center</x:v>
      </x:c>
      <x:c r="J19" t="n">
        <x:v>588</x:v>
      </x:c>
      <x:c r="K19" s="24" t="n">
        <x:v>0.0714</x:v>
      </x:c>
      <x:c r="L19" s="120" t="n">
        <x:v>9808.69</x:v>
      </x:c>
      <x:c r="M19" s="120" t="n">
        <x:v>481.87</x:v>
      </x:c>
      <x:c r="N19" s="28" t="n">
        <x:v>3.28</x:v>
      </x:c>
    </x:row>
    <x:row r="20">
      <x:c r="I20" t="str">
        <x:v>Offer3 | Web</x:v>
      </x:c>
      <x:c r="J20" t="n">
        <x:v>229</x:v>
      </x:c>
      <x:c r="K20" s="24" t="n">
        <x:v>0.0524</x:v>
      </x:c>
      <x:c r="L20" s="120" t="n">
        <x:v>6660.01</x:v>
      </x:c>
      <x:c r="M20" s="120" t="n">
        <x:v>442.13</x:v>
      </x:c>
      <x:c r="N20" s="28" t="n">
        <x:v>3.04</x:v>
      </x:c>
    </x:row>
    <x:row r="21">
      <x:c r="I21" t="str">
        <x:v>Offer3 | Agent</x:v>
      </x:c>
      <x:c r="J21" t="n">
        <x:v>518</x:v>
      </x:c>
      <x:c r="K21" s="24" t="n">
        <x:v>0.0347</x:v>
      </x:c>
      <x:c r="L21" s="120" t="n">
        <x:v>8216.09</x:v>
      </x:c>
      <x:c r="M21" s="120" t="n">
        <x:v>427.9</x:v>
      </x:c>
      <x:c r="N21" s="28" t="n">
        <x:v>2.8</x:v>
      </x:c>
    </x:row>
    <x:row r="28">
      <x:c r="A28" s="107" t="str">
        <x:v>CRM interpretation</x:v>
      </x:c>
      <x:c r="B28" s="107"/>
      <x:c r="C28" s="107"/>
      <x:c r="D28" s="107"/>
      <x:c r="E28" s="107"/>
      <x:c r="F28" s="107"/>
      <x:c r="G28" s="107"/>
      <x:c r="H28" s="107"/>
      <x:c r="I28" s="107"/>
      <x:c r="J28" s="107"/>
      <x:c r="K28" s="107"/>
      <x:c r="L28" s="107"/>
      <x:c r="M28" s="107"/>
      <x:c r="N28" s="107"/>
    </x:row>
    <x:row r="29">
      <x:c r="A29" s="122" t="str">
        <x:v>The strongest observed combination is Offer2 + Agent (31.90% response across 978 customers). Treat this as a hypothesis for controlled testing, not proof of causality. There are also 1,936 customers in the top CLV quartile who did not respond, creating a clear audience for follow-up testing with different message, offer and channel treatments.</x:v>
      </x:c>
      <x:c r="B29" s="122"/>
      <x:c r="C29" s="122"/>
      <x:c r="D29" s="122"/>
      <x:c r="E29" s="122"/>
      <x:c r="F29" s="122"/>
      <x:c r="G29" s="122"/>
      <x:c r="H29" s="122"/>
      <x:c r="I29" s="122"/>
      <x:c r="J29" s="122"/>
      <x:c r="K29" s="122"/>
      <x:c r="L29" s="122"/>
      <x:c r="M29" s="122"/>
      <x:c r="N29" s="122"/>
    </x:row>
    <x:row r="30">
      <x:c r="A30" s="122"/>
      <x:c r="B30" s="122"/>
      <x:c r="C30" s="122"/>
      <x:c r="D30" s="122"/>
      <x:c r="E30" s="122"/>
      <x:c r="F30" s="122"/>
      <x:c r="G30" s="122"/>
      <x:c r="H30" s="122"/>
      <x:c r="I30" s="122"/>
      <x:c r="J30" s="122"/>
      <x:c r="K30" s="122"/>
      <x:c r="L30" s="122"/>
      <x:c r="M30" s="122"/>
      <x:c r="N30" s="122"/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  <x:c r="M31" s="122"/>
      <x:c r="N31" s="122"/>
    </x:row>
    <x:row r="32">
      <x:c r="A32" s="122"/>
      <x:c r="B32" s="122"/>
      <x:c r="C32" s="122"/>
      <x:c r="D32" s="122"/>
      <x:c r="E32" s="122"/>
      <x:c r="F32" s="122"/>
      <x:c r="G32" s="122"/>
      <x:c r="H32" s="122"/>
      <x:c r="I32" s="122"/>
      <x:c r="J32" s="122"/>
      <x:c r="K32" s="122"/>
      <x:c r="L32" s="122"/>
      <x:c r="M32" s="122"/>
      <x:c r="N32" s="122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  <x:c r="M33" s="122"/>
      <x:c r="N33" s="122"/>
    </x:row>
    <x:row r="34">
      <x:c r="A34" s="122"/>
      <x:c r="B34" s="122"/>
      <x:c r="C34" s="122"/>
      <x:c r="D34" s="122"/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</x:row>
    <x:row r="35">
      <x:c r="A35" s="122"/>
      <x:c r="B35" s="122"/>
      <x:c r="C35" s="122"/>
      <x:c r="D35" s="122"/>
      <x:c r="E35" s="122"/>
      <x:c r="F35" s="122"/>
      <x:c r="G35" s="122"/>
      <x:c r="H35" s="122"/>
      <x:c r="I35" s="122"/>
      <x:c r="J35" s="122"/>
      <x:c r="K35" s="122"/>
      <x:c r="L35" s="122"/>
      <x:c r="M35" s="122"/>
      <x:c r="N35" s="122"/>
    </x:row>
  </x:sheetData>
  <x:mergeCells>
    <x:mergeCell ref="A1:N2"/>
    <x:mergeCell ref="A3:N3"/>
    <x:mergeCell ref="A5:C5"/>
    <x:mergeCell ref="A6:C7"/>
    <x:mergeCell ref="E5:G5"/>
    <x:mergeCell ref="E6:G7"/>
    <x:mergeCell ref="I5:K5"/>
    <x:mergeCell ref="I6:K7"/>
    <x:mergeCell ref="A10:G10"/>
    <x:mergeCell ref="I10:N10"/>
    <x:mergeCell ref="A28:N28"/>
    <x:mergeCell ref="A29:N35"/>
  </x:mergeCells>
  <x:conditionalFormatting sqref="K12:K2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{0995FCA4-7641-2E02-8EDF-3142AD53A6BE}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099e7680e3748c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995FCA4-7641-2E02-8EDF-3142AD53A6BE}">
            <x14:dataBar gradient="1">
              <x14:cfvo type="min"/>
              <x14:cfvo type="max"/>
              <x14:fillColor rgb="FFA02B93"/>
            </x14:dataBar>
          </x14:cfRule>
          <xm:sqref>K12:K21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9" max="9" width="12" hidden="0" customWidth="1"/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4" t="str">
        <x:v>Policy &amp; Claims Risk Review</x:v>
      </x:c>
      <x:c r="P1" t="str">
        <x:v>Claim Band</x:v>
      </x:c>
      <x:c r="Q1" t="str">
        <x:v>Avg Claim</x:v>
      </x:c>
    </x:row>
    <x:row r="2">
      <x:c r="P2" t="str">
        <x:v>Low</x:v>
      </x:c>
      <x:c r="Q2" t="n">
        <x:v>229.58</x:v>
      </x:c>
    </x:row>
    <x:row r="3">
      <x:c r="A3" s="10" t="str">
        <x:v>Observed claims patterns for analytical monitoring — not a fraud or pricing model</x:v>
      </x:c>
      <x:c r="P3" t="str">
        <x:v>Moderate</x:v>
      </x:c>
      <x:c r="Q3" t="n">
        <x:v>467.72</x:v>
      </x:c>
    </x:row>
    <x:row r="4">
      <x:c r="P4" t="str">
        <x:v>High</x:v>
      </x:c>
      <x:c r="Q4" t="n">
        <x:v>637.94</x:v>
      </x:c>
    </x:row>
    <x:row r="5">
      <x:c r="A5" s="69" t="str">
        <x:v>Average Claim</x:v>
      </x:c>
      <x:c r="B5" s="69"/>
      <x:c r="C5" s="69"/>
      <x:c r="E5" s="69" t="str">
        <x:v>Claim P90</x:v>
      </x:c>
      <x:c r="F5" s="69"/>
      <x:c r="G5" s="69"/>
      <x:c r="I5" s="69" t="str">
        <x:v>Very High Claim Customers</x:v>
      </x:c>
      <x:c r="J5" s="69"/>
      <x:c r="K5" s="69"/>
      <x:c r="M5" s="69" t="str">
        <x:v>Claim/Premium Proxy</x:v>
      </x:c>
      <x:c r="N5" s="69"/>
      <x:c r="P5" t="str">
        <x:v>Very High</x:v>
      </x:c>
      <x:c r="Q5" t="n">
        <x:v>1066.42</x:v>
      </x:c>
    </x:row>
    <x:row r="6">
      <x:c r="A6" s="92" t="n">
        <x:f>'Analysis Tables'!B9</x:f>
        <x:v>434.09</x:v>
      </x:c>
      <x:c r="B6" s="92"/>
      <x:c r="C6" s="92"/>
      <x:c r="E6" s="92" t="n">
        <x:f>'Analysis Tables'!B12</x:f>
        <x:v>773.43</x:v>
      </x:c>
      <x:c r="F6" s="92"/>
      <x:c r="G6" s="92"/>
      <x:c r="I6" s="88" t="n">
        <x:f>'Analysis Tables'!B14</x:f>
        <x:v>914</x:v>
      </x:c>
      <x:c r="J6" s="88"/>
      <x:c r="K6" s="88"/>
      <x:c r="M6" s="100" t="n">
        <x:f>'Analysis Tables'!B15</x:f>
        <x:v>0.3835</x:v>
      </x:c>
      <x:c r="N6" s="100"/>
    </x:row>
    <x:row r="7">
      <x:c r="A7" s="93"/>
      <x:c r="B7" s="93"/>
      <x:c r="C7" s="93"/>
      <x:c r="E7" s="93"/>
      <x:c r="F7" s="93"/>
      <x:c r="G7" s="93"/>
      <x:c r="I7" s="89"/>
      <x:c r="J7" s="89"/>
      <x:c r="K7" s="89"/>
      <x:c r="M7" s="101"/>
      <x:c r="N7" s="101"/>
    </x:row>
    <x:row r="8">
      <x:c r="P8" t="str">
        <x:v>Vehicle Class</x:v>
      </x:c>
      <x:c r="Q8" t="str">
        <x:v>Avg Claim</x:v>
      </x:c>
    </x:row>
    <x:row r="9">
      <x:c r="P9" t="str">
        <x:v>Four-Door Car</x:v>
      </x:c>
      <x:c r="Q9" t="n">
        <x:v>351.76</x:v>
      </x:c>
    </x:row>
    <x:row r="10">
      <x:c r="A10" s="107" t="str">
        <x:v>Observed claim bands</x:v>
      </x:c>
      <x:c r="B10" s="107"/>
      <x:c r="C10" s="107"/>
      <x:c r="D10" s="107"/>
      <x:c r="E10" s="107"/>
      <x:c r="F10" s="107"/>
      <x:c r="G10" s="107"/>
      <x:c r="I10" s="107" t="str">
        <x:v>Claim-heavy vehicle / coverage segments</x:v>
      </x:c>
      <x:c r="J10" s="107"/>
      <x:c r="K10" s="107"/>
      <x:c r="L10" s="107"/>
      <x:c r="M10" s="107"/>
      <x:c r="N10" s="107"/>
      <x:c r="P10" t="str">
        <x:v>Two-Door Car</x:v>
      </x:c>
      <x:c r="Q10" t="n">
        <x:v>350.54</x:v>
      </x:c>
    </x:row>
    <x:row r="11">
      <x:c r="I11" s="17" t="str">
        <x:v>Vehicle / Coverage</x:v>
      </x:c>
      <x:c r="J11" s="17" t="str">
        <x:v>Customers</x:v>
      </x:c>
      <x:c r="K11" s="17" t="str">
        <x:v>Avg CLV</x:v>
      </x:c>
      <x:c r="L11" s="17" t="str">
        <x:v>Avg Claim</x:v>
      </x:c>
      <x:c r="M11" s="17" t="str">
        <x:v>Avg Premium</x:v>
      </x:c>
      <x:c r="P11" t="str">
        <x:v>SUV</x:v>
      </x:c>
      <x:c r="Q11" t="n">
        <x:v>569.57</x:v>
      </x:c>
    </x:row>
    <x:row r="12">
      <x:c r="I12" t="str">
        <x:v>Luxury Car | Premium</x:v>
      </x:c>
      <x:c r="J12" t="n">
        <x:v>22</x:v>
      </x:c>
      <x:c r="K12" s="120" t="n">
        <x:v>16732.53</x:v>
      </x:c>
      <x:c r="L12" s="120" t="n">
        <x:v>1551.68</x:v>
      </x:c>
      <x:c r="M12" s="120" t="n">
        <x:v>279.5</x:v>
      </x:c>
      <x:c r="P12" t="str">
        <x:v>Sports Car</x:v>
      </x:c>
      <x:c r="Q12" t="n">
        <x:v>558.15</x:v>
      </x:c>
    </x:row>
    <x:row r="13">
      <x:c r="I13" t="str">
        <x:v>Luxury SUV | Premium</x:v>
      </x:c>
      <x:c r="J13" t="n">
        <x:v>26</x:v>
      </x:c>
      <x:c r="K13" s="120" t="n">
        <x:v>16856.43</x:v>
      </x:c>
      <x:c r="L13" s="120" t="n">
        <x:v>1441.39</x:v>
      </x:c>
      <x:c r="M13" s="120" t="n">
        <x:v>271.58</x:v>
      </x:c>
      <x:c r="P13" t="str">
        <x:v>Luxury SUV</x:v>
      </x:c>
      <x:c r="Q13" t="n">
        <x:v>1092.53</x:v>
      </x:c>
    </x:row>
    <x:row r="14">
      <x:c r="I14" t="str">
        <x:v>Luxury Car | Extended</x:v>
      </x:c>
      <x:c r="J14" t="n">
        <x:v>49</x:v>
      </x:c>
      <x:c r="K14" s="120" t="n">
        <x:v>22034.1</x:v>
      </x:c>
      <x:c r="L14" s="120" t="n">
        <x:v>1155.88</x:v>
      </x:c>
      <x:c r="M14" s="120" t="n">
        <x:v>225.71</x:v>
      </x:c>
      <x:c r="P14" t="str">
        <x:v>Luxury Car</x:v>
      </x:c>
      <x:c r="Q14" t="n">
        <x:v>1130.29</x:v>
      </x:c>
    </x:row>
    <x:row r="15">
      <x:c r="I15" t="str">
        <x:v>Luxury SUV | Extended</x:v>
      </x:c>
      <x:c r="J15" t="n">
        <x:v>64</x:v>
      </x:c>
      <x:c r="K15" s="120" t="n">
        <x:v>20099.01</x:v>
      </x:c>
      <x:c r="L15" s="120" t="n">
        <x:v>1136.38</x:v>
      </x:c>
      <x:c r="M15" s="120" t="n">
        <x:v>222.59</x:v>
      </x:c>
    </x:row>
    <x:row r="16">
      <x:c r="I16" t="str">
        <x:v>Luxury Car | Basic</x:v>
      </x:c>
      <x:c r="J16" t="n">
        <x:v>92</x:v>
      </x:c>
      <x:c r="K16" s="120" t="n">
        <x:v>14477.27</x:v>
      </x:c>
      <x:c r="L16" s="120" t="n">
        <x:v>1015.89</x:v>
      </x:c>
      <x:c r="M16" s="120" t="n">
        <x:v>188.76</x:v>
      </x:c>
    </x:row>
    <x:row r="17">
      <x:c r="I17" t="str">
        <x:v>Luxury SUV | Basic</x:v>
      </x:c>
      <x:c r="J17" t="n">
        <x:v>94</x:v>
      </x:c>
      <x:c r="K17" s="120" t="n">
        <x:v>15170.51</x:v>
      </x:c>
      <x:c r="L17" s="120" t="n">
        <x:v>966.17</x:v>
      </x:c>
      <x:c r="M17" s="120" t="n">
        <x:v>190.63</x:v>
      </x:c>
    </x:row>
    <x:row r="18">
      <x:c r="I18" t="str">
        <x:v>SUV | Premium</x:v>
      </x:c>
      <x:c r="J18" t="n">
        <x:v>150</x:v>
      </x:c>
      <x:c r="K18" s="120" t="n">
        <x:v>13766.18</x:v>
      </x:c>
      <x:c r="L18" s="120" t="n">
        <x:v>838.72</x:v>
      </x:c>
      <x:c r="M18" s="120" t="n">
        <x:v>167.06</x:v>
      </x:c>
    </x:row>
    <x:row r="19">
      <x:c r="I19" t="str">
        <x:v>Sports Car | Premium</x:v>
      </x:c>
      <x:c r="J19" t="n">
        <x:v>47</x:v>
      </x:c>
      <x:c r="K19" s="120" t="n">
        <x:v>13020.46</x:v>
      </x:c>
      <x:c r="L19" s="120" t="n">
        <x:v>802.16</x:v>
      </x:c>
      <x:c r="M19" s="120" t="n">
        <x:v>168.23</x:v>
      </x:c>
    </x:row>
    <x:row r="20">
      <x:c r="I20" t="str">
        <x:v>SUV | Extended</x:v>
      </x:c>
      <x:c r="J20" t="n">
        <x:v>529</x:v>
      </x:c>
      <x:c r="K20" s="120" t="n">
        <x:v>10664.37</x:v>
      </x:c>
      <x:c r="L20" s="120" t="n">
        <x:v>624.66</x:v>
      </x:c>
      <x:c r="M20" s="120" t="n">
        <x:v>129.78</x:v>
      </x:c>
    </x:row>
    <x:row r="21">
      <x:c r="I21" t="str">
        <x:v>Sports Car | Extended</x:v>
      </x:c>
      <x:c r="J21" t="n">
        <x:v>145</x:v>
      </x:c>
      <x:c r="K21" s="120" t="n">
        <x:v>10618.46</x:v>
      </x:c>
      <x:c r="L21" s="120" t="n">
        <x:v>599.3</x:v>
      </x:c>
      <x:c r="M21" s="120" t="n">
        <x:v>131.11</x:v>
      </x:c>
    </x:row>
    <x:row r="24">
      <x:c r="I24" s="107" t="str">
        <x:v>Risk interpretation</x:v>
      </x:c>
      <x:c r="J24" s="107"/>
      <x:c r="K24" s="107"/>
      <x:c r="L24" s="107"/>
      <x:c r="M24" s="107"/>
      <x:c r="N24" s="107"/>
    </x:row>
    <x:row r="25">
      <x:c r="I25" s="122" t="str">
        <x:v>The top 10% claim threshold is about $773.43 and the very-high-claim group averages about $1,066. Luxury vehicle categories show high average claim amounts, but their customer counts are small. Use these as investigation signals only. A real risk or pricing model would need exposure, claim count/date history, earned premium, incurred-loss development, underwriting variables, governance and fairness review.</x:v>
      </x:c>
      <x:c r="J25" s="122"/>
      <x:c r="K25" s="122"/>
      <x:c r="L25" s="122"/>
      <x:c r="M25" s="122"/>
      <x:c r="N25" s="122"/>
    </x:row>
    <x:row r="26">
      <x:c r="I26" s="122"/>
      <x:c r="J26" s="122"/>
      <x:c r="K26" s="122"/>
      <x:c r="L26" s="122"/>
      <x:c r="M26" s="122"/>
      <x:c r="N26" s="122"/>
    </x:row>
    <x:row r="27">
      <x:c r="I27" s="122"/>
      <x:c r="J27" s="122"/>
      <x:c r="K27" s="122"/>
      <x:c r="L27" s="122"/>
      <x:c r="M27" s="122"/>
      <x:c r="N27" s="122"/>
    </x:row>
    <x:row r="28">
      <x:c r="I28" s="122"/>
      <x:c r="J28" s="122"/>
      <x:c r="K28" s="122"/>
      <x:c r="L28" s="122"/>
      <x:c r="M28" s="122"/>
      <x:c r="N28" s="122"/>
    </x:row>
    <x:row r="29">
      <x:c r="I29" s="122"/>
      <x:c r="J29" s="122"/>
      <x:c r="K29" s="122"/>
      <x:c r="L29" s="122"/>
      <x:c r="M29" s="122"/>
      <x:c r="N29" s="122"/>
    </x:row>
    <x:row r="30">
      <x:c r="I30" s="122"/>
      <x:c r="J30" s="122"/>
      <x:c r="K30" s="122"/>
      <x:c r="L30" s="122"/>
      <x:c r="M30" s="122"/>
      <x:c r="N30" s="122"/>
    </x:row>
    <x:row r="31">
      <x:c r="I31" s="122"/>
      <x:c r="J31" s="122"/>
      <x:c r="K31" s="122"/>
      <x:c r="L31" s="122"/>
      <x:c r="M31" s="122"/>
      <x:c r="N31" s="122"/>
    </x:row>
    <x:row r="32">
      <x:c r="I32" s="122"/>
      <x:c r="J32" s="122"/>
      <x:c r="K32" s="122"/>
      <x:c r="L32" s="122"/>
      <x:c r="M32" s="122"/>
      <x:c r="N32" s="122"/>
    </x:row>
    <x:row r="33">
      <x:c r="I33" s="122"/>
      <x:c r="J33" s="122"/>
      <x:c r="K33" s="122"/>
      <x:c r="L33" s="122"/>
      <x:c r="M33" s="122"/>
      <x:c r="N33" s="122"/>
    </x:row>
    <x:row r="34">
      <x:c r="I34" s="122"/>
      <x:c r="J34" s="122"/>
      <x:c r="K34" s="122"/>
      <x:c r="L34" s="122"/>
      <x:c r="M34" s="122"/>
      <x:c r="N34" s="122"/>
    </x:row>
    <x:row r="35">
      <x:c r="I35" s="122"/>
      <x:c r="J35" s="122"/>
      <x:c r="K35" s="122"/>
      <x:c r="L35" s="122"/>
      <x:c r="M35" s="122"/>
      <x:c r="N35" s="122"/>
    </x:row>
    <x:row r="36">
      <x:c r="I36" s="122"/>
      <x:c r="J36" s="122"/>
      <x:c r="K36" s="122"/>
      <x:c r="L36" s="122"/>
      <x:c r="M36" s="122"/>
      <x:c r="N36" s="122"/>
    </x:row>
    <x:row r="37">
      <x:c r="I37" s="122"/>
      <x:c r="J37" s="122"/>
      <x:c r="K37" s="122"/>
      <x:c r="L37" s="122"/>
      <x:c r="M37" s="122"/>
      <x:c r="N37" s="122"/>
    </x:row>
    <x:row r="38">
      <x:c r="I38" s="122"/>
      <x:c r="J38" s="122"/>
      <x:c r="K38" s="122"/>
      <x:c r="L38" s="122"/>
      <x:c r="M38" s="122"/>
      <x:c r="N38" s="122"/>
    </x:row>
    <x:row r="39">
      <x:c r="I39" s="122"/>
      <x:c r="J39" s="122"/>
      <x:c r="K39" s="122"/>
      <x:c r="L39" s="122"/>
      <x:c r="M39" s="122"/>
      <x:c r="N39" s="122"/>
    </x:row>
    <x:row r="40">
      <x:c r="I40" s="122"/>
      <x:c r="J40" s="122"/>
      <x:c r="K40" s="122"/>
      <x:c r="L40" s="122"/>
      <x:c r="M40" s="122"/>
      <x:c r="N40" s="122"/>
    </x:row>
    <x:row r="41">
      <x:c r="I41" s="122"/>
      <x:c r="J41" s="122"/>
      <x:c r="K41" s="122"/>
      <x:c r="L41" s="122"/>
      <x:c r="M41" s="122"/>
      <x:c r="N41" s="122"/>
    </x:row>
    <x:row r="42">
      <x:c r="I42" s="122"/>
      <x:c r="J42" s="122"/>
      <x:c r="K42" s="122"/>
      <x:c r="L42" s="122"/>
      <x:c r="M42" s="122"/>
      <x:c r="N42" s="122"/>
    </x:row>
  </x:sheetData>
  <x:mergeCells>
    <x:mergeCell ref="A1:N2"/>
    <x:mergeCell ref="A3:N3"/>
    <x:mergeCell ref="A5:C5"/>
    <x:mergeCell ref="A6:C7"/>
    <x:mergeCell ref="E5:G5"/>
    <x:mergeCell ref="E6:G7"/>
    <x:mergeCell ref="I5:K5"/>
    <x:mergeCell ref="I6:K7"/>
    <x:mergeCell ref="M5:N5"/>
    <x:mergeCell ref="M6:N7"/>
    <x:mergeCell ref="A10:G10"/>
    <x:mergeCell ref="I10:N10"/>
    <x:mergeCell ref="I24:N24"/>
    <x:mergeCell ref="I25:N42"/>
  </x:mergeCells>
  <x:pageMargins left="0.7" right="0.7" top="0.75" bottom="0.75" header="0.3" footer="0.3"/>
  <x:drawing xmlns:r="http://schemas.openxmlformats.org/officeDocument/2006/relationships" r:id="R7615fd2d62c34158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46" t="str">
        <x:v>Analysis Tables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>
      <x:c r="A2" s="48" t="str">
        <x:v>Verified aggregate summaries derived from the IBM Watson Marketing Customer Value sample.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>
      <x:c r="A3" s="47"/>
      <x:c r="B3" s="47"/>
      <x:c r="C3" s="47"/>
      <x:c r="D3" s="47"/>
      <x:c r="E3" s="47"/>
      <x:c r="F3" s="47"/>
      <x:c r="G3" s="47"/>
      <x:c r="H3" s="47"/>
      <x:c r="I3" s="47"/>
      <x:c r="J3" s="47"/>
      <x:c r="K3" s="47"/>
    </x:row>
    <x:row r="4">
      <x:c r="A4" s="49" t="str">
        <x:v>Metric</x:v>
      </x:c>
      <x:c r="B4" s="49" t="str">
        <x:v>Value</x:v>
      </x:c>
      <x:c r="C4" s="47"/>
      <x:c r="D4" s="49" t="str">
        <x:v>Group</x:v>
      </x:c>
      <x:c r="E4" s="49" t="str">
        <x:v>Customers</x:v>
      </x:c>
      <x:c r="F4" s="49" t="str">
        <x:v>Share</x:v>
      </x:c>
      <x:c r="G4" s="49" t="str">
        <x:v>Response Rate</x:v>
      </x:c>
      <x:c r="H4" s="49" t="str">
        <x:v>Avg CLV</x:v>
      </x:c>
      <x:c r="I4" s="49" t="str">
        <x:v>Avg Claim</x:v>
      </x:c>
      <x:c r="J4" s="49" t="str">
        <x:v>Avg Monthly Premium</x:v>
      </x:c>
      <x:c r="K4" s="49" t="str">
        <x:v>Complaint Rate</x:v>
      </x:c>
    </x:row>
    <x:row r="5">
      <x:c r="A5" s="47" t="str">
        <x:v>Customers</x:v>
      </x:c>
      <x:c r="B5" s="47" t="n">
        <x:v>9134</x:v>
      </x:c>
      <x:c r="C5" s="47"/>
      <x:c r="D5" s="47" t="str">
        <x:v>Agent</x:v>
      </x:c>
      <x:c r="E5" s="47" t="n">
        <x:v>3477</x:v>
      </x:c>
      <x:c r="F5" s="50" t="n">
        <x:v>0.3807</x:v>
      </x:c>
      <x:c r="G5" s="50" t="n">
        <x:v>0.1915</x:v>
      </x:c>
      <x:c r="H5" s="51" t="n">
        <x:v>7957.71</x:v>
      </x:c>
      <x:c r="I5" s="51" t="n">
        <x:v>438.43</x:v>
      </x:c>
      <x:c r="J5" s="51" t="n">
        <x:v>93.68</x:v>
      </x:c>
      <x:c r="K5" s="50" t="n">
        <x:v>0.2053</x:v>
      </x:c>
    </x:row>
    <x:row r="6">
      <x:c r="A6" s="47" t="str">
        <x:v>Response Rate</x:v>
      </x:c>
      <x:c r="B6" s="50" t="n">
        <x:v>0.1432</x:v>
      </x:c>
      <x:c r="C6" s="47"/>
      <x:c r="D6" s="47" t="str">
        <x:v>Branch</x:v>
      </x:c>
      <x:c r="E6" s="47" t="n">
        <x:v>2567</x:v>
      </x:c>
      <x:c r="F6" s="50" t="n">
        <x:v>0.281</x:v>
      </x:c>
      <x:c r="G6" s="50" t="n">
        <x:v>0.1145</x:v>
      </x:c>
      <x:c r="H6" s="51" t="n">
        <x:v>8119.71</x:v>
      </x:c>
      <x:c r="I6" s="51" t="n">
        <x:v>432.87</x:v>
      </x:c>
      <x:c r="J6" s="51" t="n">
        <x:v>93.31</x:v>
      </x:c>
      <x:c r="K6" s="50" t="n">
        <x:v>0.2088</x:v>
      </x:c>
    </x:row>
    <x:row r="7">
      <x:c r="A7" s="47" t="str">
        <x:v>Average CLV</x:v>
      </x:c>
      <x:c r="B7" s="51" t="n">
        <x:v>8004.94</x:v>
      </x:c>
      <x:c r="C7" s="47"/>
      <x:c r="D7" s="47" t="str">
        <x:v>Call Center</x:v>
      </x:c>
      <x:c r="E7" s="47" t="n">
        <x:v>1765</x:v>
      </x:c>
      <x:c r="F7" s="50" t="n">
        <x:v>0.1932</x:v>
      </x:c>
      <x:c r="G7" s="50" t="n">
        <x:v>0.1088</x:v>
      </x:c>
      <x:c r="H7" s="51" t="n">
        <x:v>8100.09</x:v>
      </x:c>
      <x:c r="I7" s="51" t="n">
        <x:v>428.12</x:v>
      </x:c>
      <x:c r="J7" s="51" t="n">
        <x:v>92.48</x:v>
      </x:c>
      <x:c r="K7" s="50" t="n">
        <x:v>0.213</x:v>
      </x:c>
    </x:row>
    <x:row r="8">
      <x:c r="A8" s="47" t="str">
        <x:v>Average Monthly Premium</x:v>
      </x:c>
      <x:c r="B8" s="51" t="n">
        <x:v>93.22</x:v>
      </x:c>
      <x:c r="C8" s="47"/>
      <x:c r="D8" s="47" t="str">
        <x:v>Web</x:v>
      </x:c>
      <x:c r="E8" s="47" t="n">
        <x:v>1325</x:v>
      </x:c>
      <x:c r="F8" s="50" t="n">
        <x:v>0.1451</x:v>
      </x:c>
      <x:c r="G8" s="50" t="n">
        <x:v>0.1177</x:v>
      </x:c>
      <x:c r="H8" s="51" t="n">
        <x:v>7779.79</x:v>
      </x:c>
      <x:c r="I8" s="51" t="n">
        <x:v>433</x:v>
      </x:c>
      <x:c r="J8" s="51" t="n">
        <x:v>92.82</x:v>
      </x:c>
      <x:c r="K8" s="50" t="n">
        <x:v>0.1932</x:v>
      </x:c>
    </x:row>
    <x:row r="9">
      <x:c r="A9" s="47" t="str">
        <x:v>Average Claim</x:v>
      </x:c>
      <x:c r="B9" s="51" t="n">
        <x:v>434.09</x:v>
      </x:c>
      <x:c r="C9" s="47"/>
      <x:c r="D9" s="47"/>
      <x:c r="E9" s="47"/>
      <x:c r="F9" s="47"/>
      <x:c r="G9" s="47"/>
      <x:c r="H9" s="47"/>
      <x:c r="I9" s="47"/>
      <x:c r="J9" s="47"/>
      <x:c r="K9" s="47"/>
    </x:row>
    <x:row r="10">
      <x:c r="A10" s="47" t="str">
        <x:v>Open Complaint Customer Rate</x:v>
      </x:c>
      <x:c r="B10" s="50" t="n">
        <x:v>0.206</x:v>
      </x:c>
      <x:c r="C10" s="47"/>
      <x:c r="D10" s="47"/>
      <x:c r="E10" s="47"/>
      <x:c r="F10" s="47"/>
      <x:c r="G10" s="47"/>
      <x:c r="H10" s="47"/>
      <x:c r="I10" s="47"/>
      <x:c r="J10" s="47"/>
      <x:c r="K10" s="47"/>
    </x:row>
    <x:row r="11">
      <x:c r="A11" s="47" t="str">
        <x:v>High-value Non-responders</x:v>
      </x:c>
      <x:c r="B11" s="47" t="n">
        <x:v>1936</x:v>
      </x:c>
      <x:c r="C11" s="47"/>
      <x:c r="D11" s="49" t="str">
        <x:v>Group</x:v>
      </x:c>
      <x:c r="E11" s="49" t="str">
        <x:v>Customers</x:v>
      </x:c>
      <x:c r="F11" s="49" t="str">
        <x:v>Share</x:v>
      </x:c>
      <x:c r="G11" s="49" t="str">
        <x:v>Response Rate</x:v>
      </x:c>
      <x:c r="H11" s="49" t="str">
        <x:v>Avg CLV</x:v>
      </x:c>
      <x:c r="I11" s="49" t="str">
        <x:v>Avg Claim</x:v>
      </x:c>
      <x:c r="J11" s="49" t="str">
        <x:v>Avg Monthly Premium</x:v>
      </x:c>
      <x:c r="K11" s="49" t="str">
        <x:v>Complaint Rate</x:v>
      </x:c>
    </x:row>
    <x:row r="12">
      <x:c r="A12" s="47" t="str">
        <x:v>Claim P90</x:v>
      </x:c>
      <x:c r="B12" s="51" t="n">
        <x:v>773.43</x:v>
      </x:c>
      <x:c r="C12" s="47"/>
      <x:c r="D12" s="47" t="str">
        <x:v>Offer1</x:v>
      </x:c>
      <x:c r="E12" s="47" t="n">
        <x:v>3752</x:v>
      </x:c>
      <x:c r="F12" s="50" t="n">
        <x:v>0.4108</x:v>
      </x:c>
      <x:c r="G12" s="50" t="n">
        <x:v>0.1583</x:v>
      </x:c>
      <x:c r="H12" s="51" t="n">
        <x:v>8707.09</x:v>
      </x:c>
      <x:c r="I12" s="51" t="n">
        <x:v>469.17</x:v>
      </x:c>
      <x:c r="J12" s="51" t="n">
        <x:v>96.95</x:v>
      </x:c>
      <x:c r="K12" s="50" t="n">
        <x:v>0.2468</x:v>
      </x:c>
    </x:row>
    <x:row r="13">
      <x:c r="A13" s="47" t="str">
        <x:v>Average Policies</x:v>
      </x:c>
      <x:c r="B13" s="52" t="n">
        <x:v>2.97</x:v>
      </x:c>
      <x:c r="C13" s="47"/>
      <x:c r="D13" s="47" t="str">
        <x:v>Offer2</x:v>
      </x:c>
      <x:c r="E13" s="47" t="n">
        <x:v>2926</x:v>
      </x:c>
      <x:c r="F13" s="50" t="n">
        <x:v>0.3203</x:v>
      </x:c>
      <x:c r="G13" s="50" t="n">
        <x:v>0.2338</x:v>
      </x:c>
      <x:c r="H13" s="51" t="n">
        <x:v>7396.75</x:v>
      </x:c>
      <x:c r="I13" s="51" t="n">
        <x:v>408.78</x:v>
      </x:c>
      <x:c r="J13" s="51" t="n">
        <x:v>90.04</x:v>
      </x:c>
      <x:c r="K13" s="50" t="n">
        <x:v>0.1658</x:v>
      </x:c>
    </x:row>
    <x:row r="14">
      <x:c r="A14" s="47" t="str">
        <x:v>Very High Claim Customers</x:v>
      </x:c>
      <x:c r="B14" s="47" t="n">
        <x:v>914</x:v>
      </x:c>
      <x:c r="C14" s="47"/>
      <x:c r="D14" s="47" t="str">
        <x:v>Offer3</x:v>
      </x:c>
      <x:c r="E14" s="47" t="n">
        <x:v>1432</x:v>
      </x:c>
      <x:c r="F14" s="50" t="n">
        <x:v>0.1568</x:v>
      </x:c>
      <x:c r="G14" s="50" t="n">
        <x:v>0.0209</x:v>
      </x:c>
      <x:c r="H14" s="51" t="n">
        <x:v>7997.89</x:v>
      </x:c>
      <x:c r="I14" s="51" t="n">
        <x:v>423.39</x:v>
      </x:c>
      <x:c r="J14" s="51" t="n">
        <x:v>92.46</x:v>
      </x:c>
      <x:c r="K14" s="50" t="n">
        <x:v>0.2109</x:v>
      </x:c>
    </x:row>
    <x:row r="15">
      <x:c r="A15" s="47" t="str">
        <x:v>Claim/Annual Premium Proxy</x:v>
      </x:c>
      <x:c r="B15" s="53" t="n">
        <x:v>0.3835</x:v>
      </x:c>
      <x:c r="C15" s="47"/>
      <x:c r="D15" s="47" t="str">
        <x:v>Offer4</x:v>
      </x:c>
      <x:c r="E15" s="47" t="n">
        <x:v>1024</x:v>
      </x:c>
      <x:c r="F15" s="50" t="n">
        <x:v>0.1121</x:v>
      </x:c>
      <x:c r="G15" s="50" t="n">
        <x:v>0</x:v>
      </x:c>
      <x:c r="H15" s="51" t="n">
        <x:v>7179.95</x:v>
      </x:c>
      <x:c r="I15" s="51" t="n">
        <x:v>392.85</x:v>
      </x:c>
      <x:c r="J15" s="51" t="n">
        <x:v>89.71</x:v>
      </x:c>
      <x:c r="K15" s="50" t="n">
        <x:v>0.165</x:v>
      </x:c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</x:row>
    <x:row r="18">
      <x:c r="A18" s="49" t="str">
        <x:v>Group</x:v>
      </x:c>
      <x:c r="B18" s="49" t="str">
        <x:v>Customers</x:v>
      </x:c>
      <x:c r="C18" s="49" t="str">
        <x:v>Share</x:v>
      </x:c>
      <x:c r="D18" s="49" t="str">
        <x:v>Response Rate</x:v>
      </x:c>
      <x:c r="E18" s="49" t="str">
        <x:v>Avg CLV</x:v>
      </x:c>
      <x:c r="F18" s="49" t="str">
        <x:v>Avg Claim</x:v>
      </x:c>
      <x:c r="G18" s="49" t="str">
        <x:v>Avg Monthly Premium</x:v>
      </x:c>
      <x:c r="H18" s="49" t="str">
        <x:v>Avg Policies</x:v>
      </x:c>
      <x:c r="I18" s="49" t="str">
        <x:v>Complaint Rate</x:v>
      </x:c>
      <x:c r="J18" s="49" t="str">
        <x:v>Avg Monthly Premium</x:v>
      </x:c>
      <x:c r="K18" s="49" t="str">
        <x:v>Complaint Rate</x:v>
      </x:c>
    </x:row>
    <x:row r="19">
      <x:c r="A19" s="47" t="str">
        <x:v>Low</x:v>
      </x:c>
      <x:c r="B19" s="47" t="n">
        <x:v>2284</x:v>
      </x:c>
      <x:c r="C19" s="50" t="n">
        <x:v>0.2501</x:v>
      </x:c>
      <x:c r="D19" s="50" t="n">
        <x:v>0.1497</x:v>
      </x:c>
      <x:c r="E19" s="51" t="n">
        <x:v>2907.79</x:v>
      </x:c>
      <x:c r="F19" s="51" t="n">
        <x:v>359.78</x:v>
      </x:c>
      <x:c r="G19" s="51" t="n">
        <x:v>76.45</x:v>
      </x:c>
      <x:c r="H19" s="51" t="n">
        <x:v>1.01</x:v>
      </x:c>
      <x:c r="I19" s="50" t="n">
        <x:v>0.2102</x:v>
      </x:c>
      <x:c r="J19" s="51" t="n">
        <x:v>82.17</x:v>
      </x:c>
      <x:c r="K19" s="50" t="n">
        <x:v>0.2076</x:v>
      </x:c>
    </x:row>
    <x:row r="20">
      <x:c r="A20" s="47" t="str">
        <x:v>Mid-Low</x:v>
      </x:c>
      <x:c r="B20" s="47" t="n">
        <x:v>2284</x:v>
      </x:c>
      <x:c r="C20" s="50" t="n">
        <x:v>0.2501</x:v>
      </x:c>
      <x:c r="D20" s="50" t="n">
        <x:v>0.1524</x:v>
      </x:c>
      <x:c r="E20" s="51" t="n">
        <x:v>4952.39</x:v>
      </x:c>
      <x:c r="F20" s="51" t="n">
        <x:v>390.44</x:v>
      </x:c>
      <x:c r="G20" s="51" t="n">
        <x:v>84.9</x:v>
      </x:c>
      <x:c r="H20" s="51" t="n">
        <x:v>3.88</x:v>
      </x:c>
      <x:c r="I20" s="50" t="n">
        <x:v>0.2128</x:v>
      </x:c>
      <x:c r="J20" s="51" t="n">
        <x:v>103.58</x:v>
      </x:c>
      <x:c r="K20" s="50" t="n">
        <x:v>0.2086</x:v>
      </x:c>
    </x:row>
    <x:row r="21">
      <x:c r="A21" s="47" t="str">
        <x:v>Mid-High</x:v>
      </x:c>
      <x:c r="B21" s="47" t="n">
        <x:v>2282</x:v>
      </x:c>
      <x:c r="C21" s="50" t="n">
        <x:v>0.2498</x:v>
      </x:c>
      <x:c r="D21" s="50" t="n">
        <x:v>0.1183</x:v>
      </x:c>
      <x:c r="E21" s="51" t="n">
        <x:v>7436.34</x:v>
      </x:c>
      <x:c r="F21" s="51" t="n">
        <x:v>438.85</x:v>
      </x:c>
      <x:c r="G21" s="51" t="n">
        <x:v>94.72</x:v>
      </x:c>
      <x:c r="H21" s="51" t="n">
        <x:v>4.14</x:v>
      </x:c>
      <x:c r="I21" s="50" t="n">
        <x:v>0.2195</x:v>
      </x:c>
      <x:c r="J21" s="51" t="n">
        <x:v>133.38</x:v>
      </x:c>
      <x:c r="K21" s="50" t="n">
        <x:v>0.1869</x:v>
      </x:c>
    </x:row>
    <x:row r="22">
      <x:c r="A22" s="47" t="str">
        <x:v>High</x:v>
      </x:c>
      <x:c r="B22" s="47" t="n">
        <x:v>2284</x:v>
      </x:c>
      <x:c r="C22" s="50" t="n">
        <x:v>0.2501</x:v>
      </x:c>
      <x:c r="D22" s="50" t="n">
        <x:v>0.1524</x:v>
      </x:c>
      <x:c r="E22" s="51" t="n">
        <x:v>16722.74</x:v>
      </x:c>
      <x:c r="F22" s="51" t="n">
        <x:v>547.29</x:v>
      </x:c>
      <x:c r="G22" s="51" t="n">
        <x:v>116.82</x:v>
      </x:c>
      <x:c r="H22" s="47" t="n">
        <x:v>2.84</x:v>
      </x:c>
      <x:c r="I22" s="50" t="n">
        <x:v>0.1817</x:v>
      </x:c>
      <x:c r="J22" s="47"/>
      <x:c r="K22" s="47"/>
    </x:row>
    <x:row r="23">
      <x:c r="A23" s="47"/>
      <x:c r="B23" s="47"/>
      <x:c r="C23" s="47"/>
      <x:c r="D23" s="47"/>
      <x:c r="E23" s="47"/>
      <x:c r="F23" s="47"/>
      <x:c r="G23" s="47"/>
      <x:c r="H23" s="47"/>
      <x:c r="I23" s="47"/>
      <x:c r="J23" s="47"/>
      <x:c r="K23" s="47"/>
    </x:row>
    <x:row r="24">
      <x:c r="A24" s="47"/>
      <x:c r="B24" s="47"/>
      <x:c r="C24" s="47"/>
      <x:c r="D24" s="49" t="str">
        <x:v>Group</x:v>
      </x:c>
      <x:c r="E24" s="49" t="str">
        <x:v>Customers</x:v>
      </x:c>
      <x:c r="F24" s="49" t="str">
        <x:v>Share</x:v>
      </x:c>
      <x:c r="G24" s="49" t="str">
        <x:v>Response Rate</x:v>
      </x:c>
      <x:c r="H24" s="49" t="str">
        <x:v>Avg CLV</x:v>
      </x:c>
      <x:c r="I24" s="49" t="str">
        <x:v>Avg Claim</x:v>
      </x:c>
      <x:c r="J24" s="49" t="str">
        <x:v>Avg Monthly Premium</x:v>
      </x:c>
      <x:c r="K24" s="49" t="str">
        <x:v>Complaint Rate</x:v>
      </x:c>
    </x:row>
    <x:row r="25">
      <x:c r="A25" s="49" t="str">
        <x:v>Group</x:v>
      </x:c>
      <x:c r="B25" s="49" t="str">
        <x:v>Customers</x:v>
      </x:c>
      <x:c r="C25" s="49" t="str">
        <x:v>Share</x:v>
      </x:c>
      <x:c r="D25" s="49" t="str">
        <x:v>Response Rate</x:v>
      </x:c>
      <x:c r="E25" s="49" t="str">
        <x:v>Avg CLV</x:v>
      </x:c>
      <x:c r="F25" s="54" t="str">
        <x:v>Avg Claim</x:v>
      </x:c>
      <x:c r="G25" s="54" t="str">
        <x:v>Avg Monthly Premium</x:v>
      </x:c>
      <x:c r="H25" s="55" t="str">
        <x:v>Avg Policies</x:v>
      </x:c>
      <x:c r="I25" s="55" t="str">
        <x:v>Complaint Rate</x:v>
      </x:c>
      <x:c r="J25" s="51" t="n">
        <x:v>77.42</x:v>
      </x:c>
      <x:c r="K25" s="50" t="n">
        <x:v>0.2138</x:v>
      </x:c>
    </x:row>
    <x:row r="26">
      <x:c r="A26" s="47" t="str">
        <x:v>Low</x:v>
      </x:c>
      <x:c r="B26" s="47" t="n">
        <x:v>4567</x:v>
      </x:c>
      <x:c r="C26" s="50" t="n">
        <x:v>0.5</x:v>
      </x:c>
      <x:c r="D26" s="50" t="n">
        <x:v>0.1274</x:v>
      </x:c>
      <x:c r="E26" s="51" t="n">
        <x:v>6863.02</x:v>
      </x:c>
      <x:c r="F26" s="51" t="n">
        <x:v>229.58</x:v>
      </x:c>
      <x:c r="G26" s="51" t="n">
        <x:v>78.48</x:v>
      </x:c>
      <x:c r="H26" s="51" t="n">
        <x:v>2.99</x:v>
      </x:c>
      <x:c r="I26" s="50" t="n">
        <x:v>0.2152</x:v>
      </x:c>
      <x:c r="J26" s="51" t="n">
        <x:v>76.93</x:v>
      </x:c>
      <x:c r="K26" s="50" t="n">
        <x:v>0.1972</x:v>
      </x:c>
    </x:row>
    <x:row r="27">
      <x:c r="A27" s="47" t="str">
        <x:v>Moderate</x:v>
      </x:c>
      <x:c r="B27" s="47" t="n">
        <x:v>2283</x:v>
      </x:c>
      <x:c r="C27" s="50" t="n">
        <x:v>0.2499</x:v>
      </x:c>
      <x:c r="D27" s="50" t="n">
        <x:v>0.1787</x:v>
      </x:c>
      <x:c r="E27" s="51" t="n">
        <x:v>8033.76</x:v>
      </x:c>
      <x:c r="F27" s="51" t="n">
        <x:v>467.72</x:v>
      </x:c>
      <x:c r="G27" s="51" t="n">
        <x:v>90.46</x:v>
      </x:c>
      <x:c r="H27" s="51" t="n">
        <x:v>2.97</x:v>
      </x:c>
      <x:c r="I27" s="50" t="n">
        <x:v>0.2081</x:v>
      </x:c>
      <x:c r="J27" s="51" t="n">
        <x:v>120.16</x:v>
      </x:c>
      <x:c r="K27" s="50" t="n">
        <x:v>0.1954</x:v>
      </x:c>
    </x:row>
    <x:row r="28">
      <x:c r="A28" s="47" t="str">
        <x:v>High</x:v>
      </x:c>
      <x:c r="B28" s="47" t="n">
        <x:v>1370</x:v>
      </x:c>
      <x:c r="C28" s="50" t="n">
        <x:v>0.15</x:v>
      </x:c>
      <x:c r="D28" s="50" t="n">
        <x:v>0.1577</x:v>
      </x:c>
      <x:c r="E28" s="51" t="n">
        <x:v>8938.9</x:v>
      </x:c>
      <x:c r="F28" s="51" t="n">
        <x:v>637.94</x:v>
      </x:c>
      <x:c r="G28" s="51" t="n">
        <x:v>108.63</x:v>
      </x:c>
      <x:c r="H28" s="51" t="n">
        <x:v>2.88</x:v>
      </x:c>
      <x:c r="I28" s="50" t="n">
        <x:v>0.1832</x:v>
      </x:c>
      <x:c r="J28" s="51" t="n">
        <x:v>121.88</x:v>
      </x:c>
      <x:c r="K28" s="50" t="n">
        <x:v>0.1901</x:v>
      </x:c>
    </x:row>
    <x:row r="29">
      <x:c r="A29" s="47" t="str">
        <x:v>Very High</x:v>
      </x:c>
      <x:c r="B29" s="47" t="n">
        <x:v>914</x:v>
      </x:c>
      <x:c r="C29" s="50" t="n">
        <x:v>0.1001</x:v>
      </x:c>
      <x:c r="D29" s="50" t="n">
        <x:v>0.1116</x:v>
      </x:c>
      <x:c r="E29" s="51" t="n">
        <x:v>12238.88</x:v>
      </x:c>
      <x:c r="F29" s="51" t="n">
        <x:v>1066.42</x:v>
      </x:c>
      <x:c r="G29" s="51" t="n">
        <x:v>150.64</x:v>
      </x:c>
      <x:c r="H29" s="51" t="n">
        <x:v>3</x:v>
      </x:c>
      <x:c r="I29" s="50" t="n">
        <x:v>0.1893</x:v>
      </x:c>
      <x:c r="J29" s="51" t="n">
        <x:v>213.18</x:v>
      </x:c>
      <x:c r="K29" s="50" t="n">
        <x:v>0.2337</x:v>
      </x:c>
    </x:row>
    <x:row r="30">
      <x:c r="A30" s="47"/>
      <x:c r="B30" s="47"/>
      <x:c r="C30" s="47"/>
      <x:c r="D30" s="47" t="str">
        <x:v>Luxury Car</x:v>
      </x:c>
      <x:c r="E30" s="47" t="n">
        <x:v>163</x:v>
      </x:c>
      <x:c r="F30" s="50" t="n">
        <x:v>0.0178</x:v>
      </x:c>
      <x:c r="G30" s="50" t="n">
        <x:v>0.0736</x:v>
      </x:c>
      <x:c r="H30" s="51" t="n">
        <x:v>17053.35</x:v>
      </x:c>
      <x:c r="I30" s="51" t="n">
        <x:v>1130.29</x:v>
      </x:c>
      <x:c r="J30" s="51" t="n">
        <x:v>212.12</x:v>
      </x:c>
      <x:c r="K30" s="50" t="n">
        <x:v>0.2209</x:v>
      </x:c>
    </x:row>
    <x:row r="31">
      <x:c r="A31" s="47"/>
      <x:c r="B31" s="47"/>
      <x:c r="C31" s="47"/>
      <x:c r="D31" s="47"/>
      <x:c r="E31" s="47"/>
      <x:c r="F31" s="47"/>
      <x:c r="G31" s="47"/>
      <x:c r="H31" s="47"/>
      <x:c r="I31" s="47"/>
      <x:c r="J31" s="47"/>
      <x:c r="K31" s="47"/>
    </x:row>
    <x:row r="32">
      <x:c r="A32" s="49" t="str">
        <x:v>Group</x:v>
      </x:c>
      <x:c r="B32" s="49" t="str">
        <x:v>Customers</x:v>
      </x:c>
      <x:c r="C32" s="49" t="str">
        <x:v>Share</x:v>
      </x:c>
      <x:c r="D32" s="49" t="str">
        <x:v>Response Rate</x:v>
      </x:c>
      <x:c r="E32" s="49" t="str">
        <x:v>Avg CLV</x:v>
      </x:c>
      <x:c r="F32" s="49" t="str">
        <x:v>Avg Claim</x:v>
      </x:c>
      <x:c r="G32" s="49" t="str">
        <x:v>Avg Monthly Premium</x:v>
      </x:c>
      <x:c r="H32" s="49" t="str">
        <x:v>Avg Policies</x:v>
      </x:c>
      <x:c r="I32" s="49" t="str">
        <x:v>Complaint Rate</x:v>
      </x:c>
      <x:c r="J32" s="47"/>
      <x:c r="K32" s="47"/>
    </x:row>
    <x:row r="33">
      <x:c r="A33" s="47" t="str">
        <x:v>Offer2 | Agent</x:v>
      </x:c>
      <x:c r="B33" s="47" t="n">
        <x:v>978</x:v>
      </x:c>
      <x:c r="C33" s="50" t="n">
        <x:v>0.1071</x:v>
      </x:c>
      <x:c r="D33" s="50" t="n">
        <x:v>0.319</x:v>
      </x:c>
      <x:c r="E33" s="51" t="n">
        <x:v>7484.24</x:v>
      </x:c>
      <x:c r="F33" s="51" t="n">
        <x:v>431.5</x:v>
      </x:c>
      <x:c r="G33" s="51" t="n">
        <x:v>92.85</x:v>
      </x:c>
      <x:c r="H33" s="47" t="n">
        <x:v>2.85</x:v>
      </x:c>
      <x:c r="I33" s="50" t="n">
        <x:v>0.1718</x:v>
      </x:c>
      <x:c r="J33" s="47"/>
      <x:c r="K33" s="47"/>
    </x:row>
    <x:row r="34">
      <x:c r="A34" s="47" t="str">
        <x:v>Offer2 | Call Center</x:v>
      </x:c>
      <x:c r="B34" s="47" t="n">
        <x:v>647</x:v>
      </x:c>
      <x:c r="C34" s="50" t="n">
        <x:v>0.0708</x:v>
      </x:c>
      <x:c r="D34" s="50" t="n">
        <x:v>0.2318</x:v>
      </x:c>
      <x:c r="E34" s="51" t="n">
        <x:v>6820.63</x:v>
      </x:c>
      <x:c r="F34" s="51" t="n">
        <x:v>402.2</x:v>
      </x:c>
      <x:c r="G34" s="51" t="n">
        <x:v>86.45</x:v>
      </x:c>
      <x:c r="H34" s="47" t="n">
        <x:v>2.87</x:v>
      </x:c>
      <x:c r="I34" s="50" t="n">
        <x:v>0.153</x:v>
      </x:c>
      <x:c r="J34" s="47"/>
      <x:c r="K34" s="47"/>
    </x:row>
    <x:row r="35">
      <x:c r="A35" s="47" t="str">
        <x:v>Offer1 | Agent</x:v>
      </x:c>
      <x:c r="B35" s="47" t="n">
        <x:v>1690</x:v>
      </x:c>
      <x:c r="C35" s="50" t="n">
        <x:v>0.185</x:v>
      </x:c>
      <x:c r="D35" s="50" t="n">
        <x:v>0.1988</x:v>
      </x:c>
      <x:c r="E35" s="51" t="n">
        <x:v>8306.08</x:v>
      </x:c>
      <x:c r="F35" s="51" t="n">
        <x:v>458.52</x:v>
      </x:c>
      <x:c r="G35" s="51" t="n">
        <x:v>94.89</x:v>
      </x:c>
      <x:c r="H35" s="47" t="n">
        <x:v>3.14</x:v>
      </x:c>
      <x:c r="I35" s="50" t="n">
        <x:v>0.2325</x:v>
      </x:c>
      <x:c r="J35" s="47"/>
      <x:c r="K35" s="47"/>
    </x:row>
    <x:row r="36">
      <x:c r="A36" s="47" t="str">
        <x:v>Offer2 | Web</x:v>
      </x:c>
      <x:c r="B36" s="47" t="n">
        <x:v>513</x:v>
      </x:c>
      <x:c r="C36" s="50" t="n">
        <x:v>0.0562</x:v>
      </x:c>
      <x:c r="D36" s="50" t="n">
        <x:v>0.1871</x:v>
      </x:c>
      <x:c r="E36" s="51" t="n">
        <x:v>7393.25</x:v>
      </x:c>
      <x:c r="F36" s="51" t="n">
        <x:v>381.23</x:v>
      </x:c>
      <x:c r="G36" s="51" t="n">
        <x:v>88.77</x:v>
      </x:c>
      <x:c r="H36" s="47" t="n">
        <x:v>2.81</x:v>
      </x:c>
      <x:c r="I36" s="50" t="n">
        <x:v>0.1365</x:v>
      </x:c>
      <x:c r="J36" s="47"/>
      <x:c r="K36" s="47"/>
    </x:row>
    <x:row r="37">
      <x:c r="A37" s="47" t="str">
        <x:v>Offer2 | Branch</x:v>
      </x:c>
      <x:c r="B37" s="47" t="n">
        <x:v>788</x:v>
      </x:c>
      <x:c r="C37" s="50" t="n">
        <x:v>0.0863</x:v>
      </x:c>
      <x:c r="D37" s="50" t="n">
        <x:v>0.1599</x:v>
      </x:c>
      <x:c r="E37" s="51" t="n">
        <x:v>7763.48</x:v>
      </x:c>
      <x:c r="F37" s="51" t="n">
        <x:v>403.91</x:v>
      </x:c>
      <x:c r="G37" s="51" t="n">
        <x:v>90.32</x:v>
      </x:c>
      <x:c r="H37" s="47" t="n">
        <x:v>2.77</x:v>
      </x:c>
      <x:c r="I37" s="50" t="n">
        <x:v>0.1878</x:v>
      </x:c>
      <x:c r="J37" s="47"/>
      <x:c r="K37" s="47"/>
    </x:row>
    <x:row r="38">
      <x:c r="A38" s="47" t="str">
        <x:v>Offer1 | Branch</x:v>
      </x:c>
      <x:c r="B38" s="47" t="n">
        <x:v>1099</x:v>
      </x:c>
      <x:c r="C38" s="50" t="n">
        <x:v>0.1203</x:v>
      </x:c>
      <x:c r="D38" s="50" t="n">
        <x:v>0.1529</x:v>
      </x:c>
      <x:c r="E38" s="51" t="n">
        <x:v>8630.07</x:v>
      </x:c>
      <x:c r="F38" s="51" t="n">
        <x:v>471.8</x:v>
      </x:c>
      <x:c r="G38" s="51" t="n">
        <x:v>96.69</x:v>
      </x:c>
      <x:c r="H38" s="47" t="n">
        <x:v>3.13</x:v>
      </x:c>
      <x:c r="I38" s="50" t="n">
        <x:v>0.2384</x:v>
      </x:c>
      <x:c r="J38" s="47"/>
      <x:c r="K38" s="47"/>
    </x:row>
    <x:row r="39">
      <x:c r="A39" s="47" t="str">
        <x:v>Offer1 | Web</x:v>
      </x:c>
      <x:c r="B39" s="47" t="n">
        <x:v>375</x:v>
      </x:c>
      <x:c r="C39" s="50" t="n">
        <x:v>0.0411</x:v>
      </x:c>
      <x:c r="D39" s="50" t="n">
        <x:v>0.128</x:v>
      </x:c>
      <x:c r="E39" s="51" t="n">
        <x:v>9012.68</x:v>
      </x:c>
      <x:c r="F39" s="51" t="n">
        <x:v>489.47</x:v>
      </x:c>
      <x:c r="G39" s="51" t="n">
        <x:v>99.54</x:v>
      </x:c>
      <x:c r="H39" s="47" t="n">
        <x:v>3.53</x:v>
      </x:c>
      <x:c r="I39" s="50" t="n">
        <x:v>0.288</x:v>
      </x:c>
      <x:c r="J39" s="47"/>
      <x:c r="K39" s="47"/>
    </x:row>
    <x:row r="40">
      <x:c r="A40" s="47" t="str">
        <x:v>Offer1 | Call Center</x:v>
      </x:c>
      <x:c r="B40" s="47" t="n">
        <x:v>588</x:v>
      </x:c>
      <x:c r="C40" s="50" t="n">
        <x:v>0.0644</x:v>
      </x:c>
      <x:c r="D40" s="50" t="n">
        <x:v>0.0714</x:v>
      </x:c>
      <x:c r="E40" s="51" t="n">
        <x:v>9808.69</x:v>
      </x:c>
      <x:c r="F40" s="51" t="n">
        <x:v>481.87</x:v>
      </x:c>
      <x:c r="G40" s="51" t="n">
        <x:v>101.68</x:v>
      </x:c>
      <x:c r="H40" s="47" t="n">
        <x:v>3.28</x:v>
      </x:c>
      <x:c r="I40" s="50" t="n">
        <x:v>0.2772</x:v>
      </x:c>
      <x:c r="J40" s="47"/>
      <x:c r="K40" s="47"/>
    </x:row>
    <x:row r="41">
      <x:c r="A41" s="47" t="str">
        <x:v>Offer3 | Web</x:v>
      </x:c>
      <x:c r="B41" s="47" t="n">
        <x:v>229</x:v>
      </x:c>
      <x:c r="C41" s="50" t="n">
        <x:v>0.0251</x:v>
      </x:c>
      <x:c r="D41" s="50" t="n">
        <x:v>0.0524</x:v>
      </x:c>
      <x:c r="E41" s="51" t="n">
        <x:v>6660.01</x:v>
      </x:c>
      <x:c r="F41" s="51" t="n">
        <x:v>442.13</x:v>
      </x:c>
      <x:c r="G41" s="51" t="n">
        <x:v>89.5</x:v>
      </x:c>
      <x:c r="H41" s="47" t="n">
        <x:v>3.04</x:v>
      </x:c>
      <x:c r="I41" s="50" t="n">
        <x:v>0.1878</x:v>
      </x:c>
      <x:c r="J41" s="47"/>
      <x:c r="K41" s="47"/>
    </x:row>
    <x:row r="42">
      <x:c r="A42" s="47" t="str">
        <x:v>Offer3 | Agent</x:v>
      </x:c>
      <x:c r="B42" s="47" t="n">
        <x:v>518</x:v>
      </x:c>
      <x:c r="C42" s="50" t="n">
        <x:v>0.0567</x:v>
      </x:c>
      <x:c r="D42" s="50" t="n">
        <x:v>0.0347</x:v>
      </x:c>
      <x:c r="E42" s="51" t="n">
        <x:v>8216.09</x:v>
      </x:c>
      <x:c r="F42" s="51" t="n">
        <x:v>427.9</x:v>
      </x:c>
      <x:c r="G42" s="51" t="n">
        <x:v>93.74</x:v>
      </x:c>
      <x:c r="H42" s="47" t="n">
        <x:v>2.8</x:v>
      </x:c>
      <x:c r="I42" s="50" t="n">
        <x:v>0.2066</x:v>
      </x:c>
      <x:c r="J42" s="47"/>
      <x:c r="K42" s="47"/>
    </x:row>
    <x:row r="43">
      <x:c r="A43" s="47"/>
      <x:c r="B43" s="47"/>
      <x:c r="C43" s="47"/>
      <x:c r="D43" s="47"/>
      <x:c r="E43" s="47"/>
      <x:c r="F43" s="47"/>
      <x:c r="G43" s="47"/>
      <x:c r="H43" s="47"/>
      <x:c r="I43" s="47"/>
      <x:c r="J43" s="47"/>
      <x:c r="K43" s="47"/>
    </x:row>
    <x:row r="44">
      <x:c r="A44" s="47"/>
      <x:c r="B44" s="47"/>
      <x:c r="C44" s="47"/>
      <x:c r="D44" s="47"/>
      <x:c r="E44" s="47"/>
      <x:c r="F44" s="47"/>
      <x:c r="G44" s="47"/>
      <x:c r="H44" s="47"/>
      <x:c r="I44" s="47"/>
      <x:c r="J44" s="47"/>
      <x:c r="K44" s="47"/>
    </x:row>
    <x:row r="45">
      <x:c r="A45" s="49" t="str">
        <x:v>Group</x:v>
      </x:c>
      <x:c r="B45" s="49" t="str">
        <x:v>Customers</x:v>
      </x:c>
      <x:c r="C45" s="49" t="str">
        <x:v>Share</x:v>
      </x:c>
      <x:c r="D45" s="49" t="str">
        <x:v>Response Rate</x:v>
      </x:c>
      <x:c r="E45" s="49" t="str">
        <x:v>Avg CLV</x:v>
      </x:c>
      <x:c r="F45" s="49" t="str">
        <x:v>Avg Claim</x:v>
      </x:c>
      <x:c r="G45" s="49" t="str">
        <x:v>Avg Monthly Premium</x:v>
      </x:c>
      <x:c r="H45" s="49" t="str">
        <x:v>Avg Policies</x:v>
      </x:c>
      <x:c r="I45" s="49" t="str">
        <x:v>Complaint Rate</x:v>
      </x:c>
      <x:c r="J45" s="47"/>
      <x:c r="K45" s="47"/>
    </x:row>
    <x:row r="46">
      <x:c r="A46" s="47" t="str">
        <x:v>Luxury Car | Premium</x:v>
      </x:c>
      <x:c r="B46" s="47" t="n">
        <x:v>22</x:v>
      </x:c>
      <x:c r="C46" s="50" t="n">
        <x:v>0.0024</x:v>
      </x:c>
      <x:c r="D46" s="50" t="n">
        <x:v>0.2727</x:v>
      </x:c>
      <x:c r="E46" s="51" t="n">
        <x:v>16732.53</x:v>
      </x:c>
      <x:c r="F46" s="51" t="n">
        <x:v>1551.68</x:v>
      </x:c>
      <x:c r="G46" s="51" t="n">
        <x:v>279.5</x:v>
      </x:c>
      <x:c r="H46" s="47" t="n">
        <x:v>2.14</x:v>
      </x:c>
      <x:c r="I46" s="50" t="n">
        <x:v>0.0909</x:v>
      </x:c>
      <x:c r="J46" s="47"/>
      <x:c r="K46" s="47"/>
    </x:row>
    <x:row r="47">
      <x:c r="A47" s="47" t="str">
        <x:v>Luxury SUV | Premium</x:v>
      </x:c>
      <x:c r="B47" s="47" t="n">
        <x:v>26</x:v>
      </x:c>
      <x:c r="C47" s="50" t="n">
        <x:v>0.0028</x:v>
      </x:c>
      <x:c r="D47" s="50" t="n">
        <x:v>0.4615</x:v>
      </x:c>
      <x:c r="E47" s="51" t="n">
        <x:v>16856.43</x:v>
      </x:c>
      <x:c r="F47" s="51" t="n">
        <x:v>1441.39</x:v>
      </x:c>
      <x:c r="G47" s="51" t="n">
        <x:v>271.58</x:v>
      </x:c>
      <x:c r="H47" s="47" t="n">
        <x:v>2.35</x:v>
      </x:c>
      <x:c r="I47" s="50" t="n">
        <x:v>0.1538</x:v>
      </x:c>
      <x:c r="J47" s="47"/>
      <x:c r="K47" s="47"/>
    </x:row>
    <x:row r="48">
      <x:c r="A48" s="47" t="str">
        <x:v>Luxury Car | Extended</x:v>
      </x:c>
      <x:c r="B48" s="47" t="n">
        <x:v>49</x:v>
      </x:c>
      <x:c r="C48" s="50" t="n">
        <x:v>0.0054</x:v>
      </x:c>
      <x:c r="D48" s="50" t="n">
        <x:v>0.1224</x:v>
      </x:c>
      <x:c r="E48" s="51" t="n">
        <x:v>22034.1</x:v>
      </x:c>
      <x:c r="F48" s="51" t="n">
        <x:v>1155.88</x:v>
      </x:c>
      <x:c r="G48" s="51" t="n">
        <x:v>225.71</x:v>
      </x:c>
      <x:c r="H48" s="47" t="n">
        <x:v>3.43</x:v>
      </x:c>
      <x:c r="I48" s="50" t="n">
        <x:v>0.2857</x:v>
      </x:c>
      <x:c r="J48" s="47"/>
      <x:c r="K48" s="47"/>
    </x:row>
    <x:row r="49">
      <x:c r="A49" s="47" t="str">
        <x:v>Luxury SUV | Extended</x:v>
      </x:c>
      <x:c r="B49" s="47" t="n">
        <x:v>64</x:v>
      </x:c>
      <x:c r="C49" s="50" t="n">
        <x:v>0.007</x:v>
      </x:c>
      <x:c r="D49" s="50" t="n">
        <x:v>0.2813</x:v>
      </x:c>
      <x:c r="E49" s="51" t="n">
        <x:v>20099.01</x:v>
      </x:c>
      <x:c r="F49" s="51" t="n">
        <x:v>1136.38</x:v>
      </x:c>
      <x:c r="G49" s="51" t="n">
        <x:v>222.59</x:v>
      </x:c>
      <x:c r="H49" s="47" t="n">
        <x:v>3.39</x:v>
      </x:c>
      <x:c r="I49" s="50" t="n">
        <x:v>0.25</x:v>
      </x:c>
      <x:c r="J49" s="47"/>
      <x:c r="K49" s="47"/>
    </x:row>
    <x:row r="50">
      <x:c r="A50" s="47" t="str">
        <x:v>Luxury Car | Basic</x:v>
      </x:c>
      <x:c r="B50" s="47" t="n">
        <x:v>92</x:v>
      </x:c>
      <x:c r="C50" s="50" t="n">
        <x:v>0.0101</x:v>
      </x:c>
      <x:c r="D50" s="50" t="n">
        <x:v>0</x:v>
      </x:c>
      <x:c r="E50" s="51" t="n">
        <x:v>14477.27</x:v>
      </x:c>
      <x:c r="F50" s="51" t="n">
        <x:v>1015.89</x:v>
      </x:c>
      <x:c r="G50" s="51" t="n">
        <x:v>188.76</x:v>
      </x:c>
      <x:c r="H50" s="47" t="n">
        <x:v>2.95</x:v>
      </x:c>
      <x:c r="I50" s="50" t="n">
        <x:v>0.2174</x:v>
      </x:c>
      <x:c r="J50" s="47"/>
      <x:c r="K50" s="47"/>
    </x:row>
    <x:row r="51">
      <x:c r="A51" s="47" t="str">
        <x:v>Luxury SUV | Basic</x:v>
      </x:c>
      <x:c r="B51" s="47" t="n">
        <x:v>94</x:v>
      </x:c>
      <x:c r="C51" s="50" t="n">
        <x:v>0.0103</x:v>
      </x:c>
      <x:c r="D51" s="50" t="n">
        <x:v>0</x:v>
      </x:c>
      <x:c r="E51" s="51" t="n">
        <x:v>15170.51</x:v>
      </x:c>
      <x:c r="F51" s="51" t="n">
        <x:v>966.17</x:v>
      </x:c>
      <x:c r="G51" s="51" t="n">
        <x:v>190.63</x:v>
      </x:c>
      <x:c r="H51" s="47" t="n">
        <x:v>2.72</x:v>
      </x:c>
      <x:c r="I51" s="50" t="n">
        <x:v>0.2447</x:v>
      </x:c>
      <x:c r="J51" s="47"/>
      <x:c r="K51" s="47"/>
    </x:row>
    <x:row r="52">
      <x:c r="A52" s="47" t="str">
        <x:v>SUV | Premium</x:v>
      </x:c>
      <x:c r="B52" s="47" t="n">
        <x:v>150</x:v>
      </x:c>
      <x:c r="C52" s="50" t="n">
        <x:v>0.0164</x:v>
      </x:c>
      <x:c r="D52" s="50" t="n">
        <x:v>0.08</x:v>
      </x:c>
      <x:c r="E52" s="51" t="n">
        <x:v>13766.18</x:v>
      </x:c>
      <x:c r="F52" s="51" t="n">
        <x:v>838.72</x:v>
      </x:c>
      <x:c r="G52" s="51" t="n">
        <x:v>167.06</x:v>
      </x:c>
      <x:c r="H52" s="47" t="n">
        <x:v>2.99</x:v>
      </x:c>
      <x:c r="I52" s="50" t="n">
        <x:v>0.2</x:v>
      </x:c>
      <x:c r="J52" s="47"/>
      <x:c r="K52" s="47"/>
    </x:row>
    <x:row r="53">
      <x:c r="A53" s="47" t="str">
        <x:v>Sports Car | Premium</x:v>
      </x:c>
      <x:c r="B53" s="47" t="n">
        <x:v>47</x:v>
      </x:c>
      <x:c r="C53" s="50" t="n">
        <x:v>0.0051</x:v>
      </x:c>
      <x:c r="D53" s="50" t="n">
        <x:v>0.1277</x:v>
      </x:c>
      <x:c r="E53" s="51" t="n">
        <x:v>13020.46</x:v>
      </x:c>
      <x:c r="F53" s="51" t="n">
        <x:v>802.16</x:v>
      </x:c>
      <x:c r="G53" s="51" t="n">
        <x:v>168.23</x:v>
      </x:c>
      <x:c r="H53" s="47" t="n">
        <x:v>2.09</x:v>
      </x:c>
      <x:c r="I53" s="50" t="n">
        <x:v>0.2128</x:v>
      </x:c>
      <x:c r="J53" s="47"/>
      <x:c r="K53" s="47"/>
    </x:row>
    <x:row r="54">
      <x:c r="A54" s="47" t="str">
        <x:v>SUV | Extended</x:v>
      </x:c>
      <x:c r="B54" s="47" t="n">
        <x:v>529</x:v>
      </x:c>
      <x:c r="C54" s="50" t="n">
        <x:v>0.0579</x:v>
      </x:c>
      <x:c r="D54" s="50" t="n">
        <x:v>0.1474</x:v>
      </x:c>
      <x:c r="E54" s="51" t="n">
        <x:v>10664.37</x:v>
      </x:c>
      <x:c r="F54" s="51" t="n">
        <x:v>624.66</x:v>
      </x:c>
      <x:c r="G54" s="51" t="n">
        <x:v>129.78</x:v>
      </x:c>
      <x:c r="H54" s="47" t="n">
        <x:v>2.6</x:v>
      </x:c>
      <x:c r="I54" s="50" t="n">
        <x:v>0.1701</x:v>
      </x:c>
      <x:c r="J54" s="47"/>
      <x:c r="K54" s="47"/>
    </x:row>
    <x:row r="55">
      <x:c r="A55" s="47" t="str">
        <x:v>Sports Car | Extended</x:v>
      </x:c>
      <x:c r="B55" s="47" t="n">
        <x:v>145</x:v>
      </x:c>
      <x:c r="C55" s="50" t="n">
        <x:v>0.0159</x:v>
      </x:c>
      <x:c r="D55" s="50" t="n">
        <x:v>0.1655</x:v>
      </x:c>
      <x:c r="E55" s="51" t="n">
        <x:v>10618.46</x:v>
      </x:c>
      <x:c r="F55" s="51" t="n">
        <x:v>599.3</x:v>
      </x:c>
      <x:c r="G55" s="51" t="n">
        <x:v>131.11</x:v>
      </x:c>
      <x:c r="H55" s="47" t="n">
        <x:v>3.23</x:v>
      </x:c>
      <x:c r="I55" s="50" t="n">
        <x:v>0.1793</x:v>
      </x:c>
      <x:c r="J55" s="47"/>
      <x:c r="K55" s="47"/>
    </x:row>
    <x:row r="56">
      <x:c r="A56" s="47" t="str">
        <x:v>Four-Door Car | Premium</x:v>
      </x:c>
      <x:c r="B56" s="47" t="n">
        <x:v>423</x:v>
      </x:c>
      <x:c r="C56" s="50" t="n">
        <x:v>0.0463</x:v>
      </x:c>
      <x:c r="D56" s="50" t="n">
        <x:v>0.1418</x:v>
      </x:c>
      <x:c r="E56" s="51" t="n">
        <x:v>9689.74</x:v>
      </x:c>
      <x:c r="F56" s="51" t="n">
        <x:v>523.34</x:v>
      </x:c>
      <x:c r="G56" s="51" t="n">
        <x:v>109.89</x:v>
      </x:c>
      <x:c r="H56" s="47" t="n">
        <x:v>3.05</x:v>
      </x:c>
      <x:c r="I56" s="50" t="n">
        <x:v>0.1986</x:v>
      </x:c>
      <x:c r="J56" s="47"/>
      <x:c r="K56" s="47"/>
    </x:row>
    <x:row r="57">
      <x:c r="A57" s="47" t="str">
        <x:v>Two-Door Car | Premium</x:v>
      </x:c>
      <x:c r="B57" s="47" t="n">
        <x:v>156</x:v>
      </x:c>
      <x:c r="C57" s="50" t="n">
        <x:v>0.0171</x:v>
      </x:c>
      <x:c r="D57" s="50" t="n">
        <x:v>0.1538</x:v>
      </x:c>
      <x:c r="E57" s="51" t="n">
        <x:v>8948.36</x:v>
      </x:c>
      <x:c r="F57" s="51" t="n">
        <x:v>514.42</x:v>
      </x:c>
      <x:c r="G57" s="51" t="n">
        <x:v>110.54</x:v>
      </x:c>
      <x:c r="H57" s="47" t="n">
        <x:v>2.68</x:v>
      </x:c>
      <x:c r="I57" s="50" t="n">
        <x:v>0.1538</x:v>
      </x:c>
      <x:c r="J57" s="47"/>
      <x:c r="K57" s="47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Project Notes &amp; Limitations</x:v>
      </x:c>
    </x:row>
    <x:row r="4">
      <x:c r="A4" s="107" t="str">
        <x:v>What this project demonstrates</x:v>
      </x:c>
      <x:c r="B4" s="107"/>
      <x:c r="C4" s="107"/>
      <x:c r="D4" s="107"/>
      <x:c r="E4" s="107"/>
      <x:c r="F4" s="107"/>
      <x:c r="G4" s="107"/>
      <x:c r="H4" s="107"/>
    </x:row>
    <x:row r="5">
      <x:c r="A5" s="47" t="str">
        <x:v>• CRM analytics: customer value, offer/channel response and audience prioritisation.
• Insurance analytics: policy mix, coverage, premium and observed claim patterns.
• Risk analysis: descriptive claim severity bands and claim-heavy segment review.
• Data/BI skills: SQL, Python, dashboard design, KPI definition and business interpretation.</x:v>
      </x:c>
      <x:c r="B5" s="47"/>
      <x:c r="C5" s="47"/>
      <x:c r="D5" s="47"/>
      <x:c r="E5" s="47"/>
      <x:c r="F5" s="47"/>
      <x:c r="G5" s="47"/>
      <x:c r="H5" s="47"/>
    </x:row>
    <x:row r="6">
      <x:c r="A6" s="47"/>
      <x:c r="B6" s="47"/>
      <x:c r="C6" s="47"/>
      <x:c r="D6" s="47"/>
      <x:c r="E6" s="47"/>
      <x:c r="F6" s="47"/>
      <x:c r="G6" s="47"/>
      <x:c r="H6" s="47"/>
    </x:row>
    <x:row r="7">
      <x:c r="A7" s="47"/>
      <x:c r="B7" s="47"/>
      <x:c r="C7" s="47"/>
      <x:c r="D7" s="47"/>
      <x:c r="E7" s="47"/>
      <x:c r="F7" s="47"/>
      <x:c r="G7" s="47"/>
      <x:c r="H7" s="47"/>
    </x:row>
    <x:row r="8">
      <x:c r="A8" s="47"/>
      <x:c r="B8" s="47"/>
      <x:c r="C8" s="47"/>
      <x:c r="D8" s="47"/>
      <x:c r="E8" s="47"/>
      <x:c r="F8" s="47"/>
      <x:c r="G8" s="47"/>
      <x:c r="H8" s="47"/>
    </x:row>
    <x:row r="9">
      <x:c r="A9" s="47"/>
      <x:c r="B9" s="47"/>
      <x:c r="C9" s="47"/>
      <x:c r="D9" s="47"/>
      <x:c r="E9" s="47"/>
      <x:c r="F9" s="47"/>
      <x:c r="G9" s="47"/>
      <x:c r="H9" s="47"/>
    </x:row>
    <x:row r="10">
      <x:c r="A10" s="47"/>
      <x:c r="B10" s="47"/>
      <x:c r="C10" s="47"/>
      <x:c r="D10" s="47"/>
      <x:c r="E10" s="47"/>
      <x:c r="F10" s="47"/>
      <x:c r="G10" s="47"/>
      <x:c r="H10" s="47"/>
    </x:row>
    <x:row r="12">
      <x:c r="A12" s="107" t="str">
        <x:v>What it does NOT claim</x:v>
      </x:c>
      <x:c r="B12" s="107"/>
      <x:c r="C12" s="107"/>
      <x:c r="D12" s="107"/>
      <x:c r="E12" s="107"/>
      <x:c r="F12" s="107"/>
      <x:c r="G12" s="107"/>
      <x:c r="H12" s="107"/>
    </x:row>
    <x:row r="13">
      <x:c r="A13" s="47" t="str">
        <x:v>• Response is not churn or confirmed renewal.
• Higher historical response does not prove causality.
• High claims are not fraud.
• The claim-to-premium proxy is not an actuarial loss ratio.
• The 2011 sample is not suitable for live underwriting, pricing or regulatory decisions.</x:v>
      </x:c>
      <x:c r="B13" s="47"/>
      <x:c r="C13" s="47"/>
      <x:c r="D13" s="47"/>
      <x:c r="E13" s="47"/>
      <x:c r="F13" s="47"/>
      <x:c r="G13" s="47"/>
      <x:c r="H13" s="47"/>
    </x:row>
    <x:row r="14">
      <x:c r="A14" s="47"/>
      <x:c r="B14" s="47"/>
      <x:c r="C14" s="47"/>
      <x:c r="D14" s="47"/>
      <x:c r="E14" s="47"/>
      <x:c r="F14" s="47"/>
      <x:c r="G14" s="47"/>
      <x:c r="H14" s="47"/>
    </x:row>
    <x:row r="15">
      <x:c r="A15" s="47"/>
      <x:c r="B15" s="47"/>
      <x:c r="C15" s="47"/>
      <x:c r="D15" s="47"/>
      <x:c r="E15" s="47"/>
      <x:c r="F15" s="47"/>
      <x:c r="G15" s="47"/>
      <x:c r="H15" s="47"/>
    </x:row>
    <x:row r="16">
      <x:c r="A16" s="47"/>
      <x:c r="B16" s="47"/>
      <x:c r="C16" s="47"/>
      <x:c r="D16" s="47"/>
      <x:c r="E16" s="47"/>
      <x:c r="F16" s="47"/>
      <x:c r="G16" s="47"/>
      <x:c r="H16" s="47"/>
    </x:row>
    <x:row r="17">
      <x:c r="A17" s="47"/>
      <x:c r="B17" s="47"/>
      <x:c r="C17" s="47"/>
      <x:c r="D17" s="47"/>
      <x:c r="E17" s="47"/>
      <x:c r="F17" s="47"/>
      <x:c r="G17" s="47"/>
      <x:c r="H17" s="47"/>
    </x:row>
    <x:row r="18">
      <x:c r="A18" s="47"/>
      <x:c r="B18" s="47"/>
      <x:c r="C18" s="47"/>
      <x:c r="D18" s="47"/>
      <x:c r="E18" s="47"/>
      <x:c r="F18" s="47"/>
      <x:c r="G18" s="47"/>
      <x:c r="H18" s="47"/>
    </x:row>
    <x:row r="19">
      <x:c r="A19" s="47"/>
      <x:c r="B19" s="47"/>
      <x:c r="C19" s="47"/>
      <x:c r="D19" s="47"/>
      <x:c r="E19" s="47"/>
      <x:c r="F19" s="47"/>
      <x:c r="G19" s="47"/>
      <x:c r="H19" s="47"/>
    </x:row>
    <x:row r="20">
      <x:c r="A20" s="47"/>
      <x:c r="B20" s="47"/>
      <x:c r="C20" s="47"/>
      <x:c r="D20" s="47"/>
      <x:c r="E20" s="47"/>
      <x:c r="F20" s="47"/>
      <x:c r="G20" s="47"/>
      <x:c r="H20" s="47"/>
    </x:row>
    <x:row r="22">
      <x:c r="A22" s="107" t="str">
        <x:v>Data source</x:v>
      </x:c>
      <x:c r="B22" s="107"/>
      <x:c r="C22" s="107"/>
      <x:c r="D22" s="107"/>
      <x:c r="E22" s="107"/>
      <x:c r="F22" s="107"/>
      <x:c r="G22" s="107"/>
      <x:c r="H22" s="107"/>
    </x:row>
    <x:row r="23">
      <x:c r="A23" s="47" t="str">
        <x:v>IBM Watson Marketing Customer Value Analysis / IBM Cognos Insurance Customer Analysis sample.
The public project package intentionally excludes the raw source file; see data/README_DATA.md for attribution and reproducibility notes.</x:v>
      </x:c>
      <x:c r="B23" s="47"/>
      <x:c r="C23" s="47"/>
      <x:c r="D23" s="47"/>
      <x:c r="E23" s="47"/>
      <x:c r="F23" s="47"/>
      <x:c r="G23" s="47"/>
      <x:c r="H23" s="47"/>
    </x:row>
    <x:row r="24">
      <x:c r="A24" s="47"/>
      <x:c r="B24" s="47"/>
      <x:c r="C24" s="47"/>
      <x:c r="D24" s="47"/>
      <x:c r="E24" s="47"/>
      <x:c r="F24" s="47"/>
      <x:c r="G24" s="47"/>
      <x:c r="H24" s="47"/>
    </x:row>
    <x:row r="25">
      <x:c r="A25" s="47"/>
      <x:c r="B25" s="47"/>
      <x:c r="C25" s="47"/>
      <x:c r="D25" s="47"/>
      <x:c r="E25" s="47"/>
      <x:c r="F25" s="47"/>
      <x:c r="G25" s="47"/>
      <x:c r="H25" s="47"/>
    </x:row>
    <x:row r="26">
      <x:c r="A26" s="47"/>
      <x:c r="B26" s="47"/>
      <x:c r="C26" s="47"/>
      <x:c r="D26" s="47"/>
      <x:c r="E26" s="47"/>
      <x:c r="F26" s="47"/>
      <x:c r="G26" s="47"/>
      <x:c r="H26" s="47"/>
    </x:row>
    <x:row r="27">
      <x:c r="A27" s="47"/>
      <x:c r="B27" s="47"/>
      <x:c r="C27" s="47"/>
      <x:c r="D27" s="47"/>
      <x:c r="E27" s="47"/>
      <x:c r="F27" s="47"/>
      <x:c r="G27" s="47"/>
      <x:c r="H27" s="47"/>
    </x:row>
    <x:row r="28">
      <x:c r="A28" s="47"/>
      <x:c r="B28" s="47"/>
      <x:c r="C28" s="47"/>
      <x:c r="D28" s="47"/>
      <x:c r="E28" s="47"/>
      <x:c r="F28" s="47"/>
      <x:c r="G28" s="47"/>
      <x:c r="H28" s="47"/>
    </x:row>
  </x:sheetData>
  <x:mergeCells>
    <x:mergeCell ref="A1:H2"/>
    <x:mergeCell ref="A4:H4"/>
    <x:mergeCell ref="A5:H10"/>
    <x:mergeCell ref="A12:H12"/>
    <x:mergeCell ref="A13:H20"/>
    <x:mergeCell ref="A22:H22"/>
    <x:mergeCell ref="A23:H28"/>
  </x:mergeCells>
  <x:pageMargins left="0.7" right="0.7" top="0.75" bottom="0.75" header="0.3" footer="0.3"/>
</x:worksheet>
</file>